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24226"/>
  <bookViews>
    <workbookView xWindow="0" yWindow="0" windowWidth="23040" windowHeight="9072" activeTab="1"/>
  </bookViews>
  <sheets>
    <sheet name="Statement" sheetId="1" r:id="rId1"/>
    <sheet name="F01.ECP" sheetId="2" r:id="rId2"/>
    <sheet name="F01.BVA" sheetId="3" r:id="rId3"/>
    <sheet name="BBT-TCs" sheetId="4" r:id="rId4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4" l="1"/>
  <c r="B8" i="4"/>
  <c r="B9" i="4" s="1"/>
  <c r="B10" i="4" s="1"/>
  <c r="B11" i="4" s="1"/>
  <c r="B14" i="4" s="1"/>
</calcChain>
</file>

<file path=xl/comments1.xml><?xml version="1.0" encoding="utf-8"?>
<comments xmlns="http://schemas.openxmlformats.org/spreadsheetml/2006/main">
  <authors>
    <author>Author</author>
  </authors>
  <commentList>
    <comment ref="H20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fill with DONE or n/a after re-testing</t>
        </r>
      </text>
    </comment>
    <comment ref="L20" authorId="0" shapeId="0">
      <text>
        <r>
          <rPr>
            <b/>
            <sz val="9"/>
            <color indexed="81"/>
            <rFont val="Tahoma"/>
            <family val="2"/>
          </rPr>
          <t xml:space="preserve">Author:
</t>
        </r>
        <r>
          <rPr>
            <sz val="9"/>
            <color indexed="81"/>
            <rFont val="Tahoma"/>
            <family val="2"/>
          </rPr>
          <t xml:space="preserve">fill with DONE or n/a after regression testing
</t>
        </r>
      </text>
    </comment>
  </commentList>
</comments>
</file>

<file path=xl/sharedStrings.xml><?xml version="1.0" encoding="utf-8"?>
<sst xmlns="http://schemas.openxmlformats.org/spreadsheetml/2006/main" count="274" uniqueCount="140">
  <si>
    <t>VVSS, Info Romana, 2025-2026</t>
  </si>
  <si>
    <t>Lab02. Black-box Testing. ECP, BVA</t>
  </si>
  <si>
    <t>Echipa</t>
  </si>
  <si>
    <t>Numele si prenumele</t>
  </si>
  <si>
    <t>Grupa</t>
  </si>
  <si>
    <t>Student 1:</t>
  </si>
  <si>
    <t>Student 2:</t>
  </si>
  <si>
    <t>Student 3:</t>
  </si>
  <si>
    <t>Tehnicile ECP si BVA sunt exemplificate pentru problema de mai jos. Studentii vor aplica aceeasi modalitate de lucru pentru proiectul primit in Lab01.</t>
  </si>
  <si>
    <t>[Unit BBT]</t>
  </si>
  <si>
    <t>Proiectaţi şi implementaţi o aplicaţie Java pentru rezolvarea problemei propuse. Se va evidenţia o arhitectură stratificată.</t>
  </si>
  <si>
    <t>Informaţiile vor fi preluate din fişiere text.</t>
  </si>
  <si>
    <t>1. Evidenţa filmelor din colecţia personală</t>
  </si>
  <si>
    <t>Un cinefil doreşte să îşi dezvolte un program pentru gestionarea filmelor din colecţia personală. Programul va permite următoarele operaţii: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</si>
  <si>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adăugarea unui film nou (titlu, regizor, an aparitie, actori, categorie, cuvinte cheie);</t>
    </r>
  </si>
  <si>
    <t>Observații</t>
  </si>
  <si>
    <t xml:space="preserve">1. La proiectarea TCs se consideră o metodă care poate avea următoarea semnătură: </t>
  </si>
  <si>
    <t>addMovie(String title, String director, int year, List&lt;String&gt; actors, String category, List&lt;String&gt; keywords): void</t>
  </si>
  <si>
    <t>2. Metoda este definită la nivelul repository, service sau ui.</t>
  </si>
  <si>
    <t>3. Se aleg doi parametri ai metodei testate şi se definesc condiţii asupra acestora. Condiţiile (constrângerile) rezultă din specificaţii.</t>
  </si>
  <si>
    <t>4. Pentru aceşti parametri se aplică ECP şi BVA. La proiectarea testelor se consideră că parametrii de intrare neinvestigaţi aici au valori valide, adică folosim dummy objects.</t>
  </si>
  <si>
    <r>
      <t xml:space="preserve">Exemplu: Parametrii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şi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; Condiţii pentru aceşti parametri de intrare: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este un string cu lungimea validă de la 1 la 255 caractere;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 este valid dacă ia valori între 1899 şi 2025.</t>
    </r>
  </si>
  <si>
    <t>EC Identification</t>
  </si>
  <si>
    <t>EC-based TCs</t>
  </si>
  <si>
    <t>No. EC</t>
  </si>
  <si>
    <t>Condition</t>
  </si>
  <si>
    <t>Valid EC</t>
  </si>
  <si>
    <t>Non-valid EC</t>
  </si>
  <si>
    <t>No. TCxx_EC</t>
  </si>
  <si>
    <t>EC</t>
  </si>
  <si>
    <t>input data</t>
  </si>
  <si>
    <t>output data</t>
  </si>
  <si>
    <t>categorie</t>
  </si>
  <si>
    <t>expected</t>
  </si>
  <si>
    <t>record added</t>
  </si>
  <si>
    <t>-</t>
  </si>
  <si>
    <t>""</t>
  </si>
  <si>
    <t xml:space="preserve"> </t>
  </si>
  <si>
    <t>BVA Condition</t>
  </si>
  <si>
    <t>BVA Condition-based TCs</t>
  </si>
  <si>
    <t>Crt. No.</t>
  </si>
  <si>
    <t>No TCxx_BVA</t>
  </si>
  <si>
    <t>BVA condition</t>
  </si>
  <si>
    <t>Correlated TC</t>
  </si>
  <si>
    <t>Executable</t>
  </si>
  <si>
    <t>expected result</t>
  </si>
  <si>
    <t>BBT TCs</t>
  </si>
  <si>
    <t>Final        TC No.</t>
  </si>
  <si>
    <t>Req. ID</t>
  </si>
  <si>
    <t>ECP TCs</t>
  </si>
  <si>
    <t>BVA TCs</t>
  </si>
  <si>
    <t>actual result</t>
  </si>
  <si>
    <t>F01</t>
  </si>
  <si>
    <t>TC1_ECP</t>
  </si>
  <si>
    <t>TC3_ECP</t>
  </si>
  <si>
    <t>TC3_BVA</t>
  </si>
  <si>
    <t>TC4_BVA</t>
  </si>
  <si>
    <t>TC5_BVA</t>
  </si>
  <si>
    <t>Statistics</t>
  </si>
  <si>
    <t>Testing</t>
  </si>
  <si>
    <t>Debugging</t>
  </si>
  <si>
    <t>Re-testing</t>
  </si>
  <si>
    <t>Regression Testing</t>
  </si>
  <si>
    <t>#TCs to be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</si>
  <si>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</si>
  <si>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   </t>
    </r>
    <r>
      <rPr>
        <b/>
        <sz val="11"/>
        <color indexed="10"/>
        <rFont val="Calibri"/>
        <family val="2"/>
      </rPr>
      <t>failed</t>
    </r>
  </si>
  <si>
    <t>#Bugs</t>
  </si>
  <si>
    <t>#Fixed Bugs</t>
  </si>
  <si>
    <t>Re-tested</t>
  </si>
  <si>
    <t>Kovacs Maria-Melania</t>
  </si>
  <si>
    <t>FI</t>
  </si>
  <si>
    <t>Stoica Casandra</t>
  </si>
  <si>
    <t>Ciceo Tania-Flavia</t>
  </si>
  <si>
    <t>pret &gt; 0</t>
  </si>
  <si>
    <t>nume == ""</t>
  </si>
  <si>
    <t>id</t>
  </si>
  <si>
    <t>pret</t>
  </si>
  <si>
    <t>nume</t>
  </si>
  <si>
    <t>tip</t>
  </si>
  <si>
    <t>"Limonada"</t>
  </si>
  <si>
    <t>JUICE</t>
  </si>
  <si>
    <t>WATER_BASED</t>
  </si>
  <si>
    <t>BASIC</t>
  </si>
  <si>
    <t>MILK_COFFEE</t>
  </si>
  <si>
    <t>DAIRY</t>
  </si>
  <si>
    <t>yes</t>
  </si>
  <si>
    <t>TC2_ECP</t>
  </si>
  <si>
    <t>"A"</t>
  </si>
  <si>
    <t>TC4_ECP</t>
  </si>
  <si>
    <t>null</t>
  </si>
  <si>
    <t>nume nu este null</t>
  </si>
  <si>
    <t>pret &lt;=0</t>
  </si>
  <si>
    <t>nume este String</t>
  </si>
  <si>
    <t>nume !=null</t>
  </si>
  <si>
    <t>orice String</t>
  </si>
  <si>
    <t>non-String (conceptual)</t>
  </si>
  <si>
    <t>preț este numeric</t>
  </si>
  <si>
    <t>double</t>
  </si>
  <si>
    <t>non-numeric (conceptual)</t>
  </si>
  <si>
    <t>"Latte"</t>
  </si>
  <si>
    <t>PLANT_BASED</t>
  </si>
  <si>
    <t>BUBBLE_TEA</t>
  </si>
  <si>
    <t>POWDER</t>
  </si>
  <si>
    <t>Error message: Name cannot be empty!</t>
  </si>
  <si>
    <t>"Matcha Latte"</t>
  </si>
  <si>
    <t>TEA</t>
  </si>
  <si>
    <t>Error message: Invalid price!</t>
  </si>
  <si>
    <t>preț &gt; 0</t>
  </si>
  <si>
    <t>nume nu este null sau gol</t>
  </si>
  <si>
    <t>03. preț - 0.0 (invalid, exact la limită)</t>
  </si>
  <si>
    <t>02. preț = -0.01 (invalid, foarte puțin sub limită)</t>
  </si>
  <si>
    <t>04. preț = 0.01 (valid, prima valoare acceptată)</t>
  </si>
  <si>
    <t>05. preț = 0.02 (valid, imediat peste prima)</t>
  </si>
  <si>
    <t>07.  nume = null (invalid, referință lipsă)</t>
  </si>
  <si>
    <t>08. nume = "" (invalid, lungime = 0)</t>
  </si>
  <si>
    <t>09. nume = "A" (valid, minim logic, lungime = 1)</t>
  </si>
  <si>
    <t>10. nume = "AB" (valid, imediat peste minim)</t>
  </si>
  <si>
    <t>preț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</si>
  <si>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adăugarea unui produs nou (nume, preț, categorie, tip);</t>
    </r>
  </si>
  <si>
    <t>TC1_BVA</t>
  </si>
  <si>
    <t>TC2_BVA</t>
  </si>
  <si>
    <t>TC6_BVA</t>
  </si>
  <si>
    <t>TC7_BVA</t>
  </si>
  <si>
    <t>TC8_BVA</t>
  </si>
  <si>
    <t>"Matcha"</t>
  </si>
  <si>
    <t>"Ceai Verde"</t>
  </si>
  <si>
    <t>"AB"</t>
  </si>
  <si>
    <t>Error message: Invalid price</t>
  </si>
  <si>
    <t>Error message: Name cannot be null</t>
  </si>
  <si>
    <t>Error message: Name cannot be empty</t>
  </si>
  <si>
    <t>Error message: Empty name</t>
  </si>
  <si>
    <t>not needed</t>
  </si>
  <si>
    <t>passed</t>
  </si>
  <si>
    <t>nume nu este gol</t>
  </si>
  <si>
    <t>nume !=""</t>
  </si>
  <si>
    <t>nume == null</t>
  </si>
  <si>
    <t>1, 5, 7, 9, 11</t>
  </si>
  <si>
    <t>1, 6, 7, 9, 11</t>
  </si>
  <si>
    <t>4, 5, 7, 9, 11</t>
  </si>
  <si>
    <t>1, 5, 7, 9, 12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</si>
</sst>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1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indexed="10"/>
      <name val="Calibri"/>
      <family val="2"/>
    </font>
    <font>
      <b/>
      <sz val="11"/>
      <color indexed="17"/>
      <name val="Calibri"/>
      <family val="2"/>
    </font>
    <font>
      <b/>
      <sz val="11"/>
      <color indexed="30"/>
      <name val="Calibri"/>
      <family val="2"/>
    </font>
    <font>
      <b/>
      <i/>
      <sz val="11"/>
      <color indexed="3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b/>
      <sz val="11"/>
      <name val="Calibri"/>
      <family val="2"/>
      <charset val="238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9"/>
      <color rgb="FFC00000"/>
      <name val="Candara"/>
      <family val="2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11"/>
      <color theme="1"/>
      <name val="Courier New"/>
      <family val="3"/>
    </font>
    <font>
      <sz val="10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22">
    <xf numFmtId="0" fontId="0" fillId="0" borderId="0" xfId="0"/>
    <xf numFmtId="0" fontId="8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10" fillId="0" borderId="0" xfId="0" applyFont="1"/>
    <xf numFmtId="0" fontId="0" fillId="0" borderId="0" xfId="0" applyAlignment="1">
      <alignment horizontal="center" vertical="center"/>
    </xf>
    <xf numFmtId="0" fontId="11" fillId="0" borderId="1" xfId="0" applyFont="1" applyBorder="1"/>
    <xf numFmtId="0" fontId="9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left"/>
    </xf>
    <xf numFmtId="0" fontId="12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0" borderId="1" xfId="0" applyFont="1" applyBorder="1"/>
    <xf numFmtId="0" fontId="15" fillId="0" borderId="0" xfId="0" applyFont="1"/>
    <xf numFmtId="0" fontId="0" fillId="0" borderId="7" xfId="0" applyBorder="1"/>
    <xf numFmtId="0" fontId="8" fillId="0" borderId="8" xfId="0" applyFont="1" applyBorder="1" applyAlignment="1">
      <alignment horizontal="center" vertical="center"/>
    </xf>
    <xf numFmtId="0" fontId="0" fillId="2" borderId="1" xfId="0" applyFill="1" applyBorder="1"/>
    <xf numFmtId="0" fontId="0" fillId="2" borderId="9" xfId="0" applyFill="1" applyBorder="1"/>
    <xf numFmtId="0" fontId="0" fillId="3" borderId="10" xfId="0" applyFill="1" applyBorder="1" applyAlignment="1">
      <alignment horizontal="center" vertical="center"/>
    </xf>
    <xf numFmtId="0" fontId="16" fillId="2" borderId="7" xfId="0" applyFont="1" applyFill="1" applyBorder="1" applyAlignment="1">
      <alignment horizontal="center"/>
    </xf>
    <xf numFmtId="0" fontId="17" fillId="2" borderId="11" xfId="0" applyFont="1" applyFill="1" applyBorder="1" applyAlignment="1">
      <alignment horizontal="center"/>
    </xf>
    <xf numFmtId="0" fontId="18" fillId="0" borderId="0" xfId="0" applyFont="1"/>
    <xf numFmtId="0" fontId="0" fillId="0" borderId="0" xfId="0" applyAlignment="1">
      <alignment vertical="center"/>
    </xf>
    <xf numFmtId="0" fontId="13" fillId="0" borderId="0" xfId="0" applyFont="1"/>
    <xf numFmtId="0" fontId="19" fillId="0" borderId="0" xfId="0" applyFont="1"/>
    <xf numFmtId="0" fontId="14" fillId="0" borderId="12" xfId="0" applyFont="1" applyBorder="1"/>
    <xf numFmtId="164" fontId="0" fillId="0" borderId="1" xfId="0" applyNumberFormat="1" applyBorder="1"/>
    <xf numFmtId="0" fontId="20" fillId="0" borderId="1" xfId="0" applyFont="1" applyBorder="1" applyAlignment="1">
      <alignment horizontal="center" vertical="center"/>
    </xf>
    <xf numFmtId="164" fontId="12" fillId="0" borderId="1" xfId="0" applyNumberFormat="1" applyFont="1" applyBorder="1"/>
    <xf numFmtId="0" fontId="0" fillId="0" borderId="1" xfId="0" applyBorder="1" applyAlignment="1">
      <alignment horizontal="center"/>
    </xf>
    <xf numFmtId="0" fontId="8" fillId="0" borderId="13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1" fillId="0" borderId="1" xfId="0" applyFont="1" applyBorder="1" applyAlignment="1">
      <alignment horizontal="center"/>
    </xf>
    <xf numFmtId="164" fontId="11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164" fontId="11" fillId="0" borderId="1" xfId="0" applyNumberFormat="1" applyFont="1" applyBorder="1" applyAlignment="1">
      <alignment horizontal="right"/>
    </xf>
    <xf numFmtId="164" fontId="11" fillId="0" borderId="1" xfId="0" applyNumberFormat="1" applyFont="1" applyBorder="1" applyAlignment="1">
      <alignment horizontal="right" vertical="center"/>
    </xf>
    <xf numFmtId="164" fontId="11" fillId="0" borderId="3" xfId="0" applyNumberFormat="1" applyFont="1" applyBorder="1" applyAlignment="1">
      <alignment horizontal="right" vertical="center"/>
    </xf>
    <xf numFmtId="0" fontId="14" fillId="0" borderId="0" xfId="0" applyFont="1" applyAlignment="1">
      <alignment horizontal="left" vertical="center" wrapText="1"/>
    </xf>
    <xf numFmtId="0" fontId="8" fillId="4" borderId="10" xfId="0" applyFont="1" applyFill="1" applyBorder="1" applyAlignment="1">
      <alignment horizontal="center"/>
    </xf>
    <xf numFmtId="0" fontId="8" fillId="4" borderId="12" xfId="0" applyFont="1" applyFill="1" applyBorder="1" applyAlignment="1">
      <alignment horizontal="center"/>
    </xf>
    <xf numFmtId="0" fontId="8" fillId="4" borderId="5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2" fillId="0" borderId="10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0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5" xfId="0" applyBorder="1" applyAlignment="1">
      <alignment horizontal="left"/>
    </xf>
    <xf numFmtId="0" fontId="8" fillId="5" borderId="1" xfId="0" applyFont="1" applyFill="1" applyBorder="1" applyAlignment="1">
      <alignment horizontal="center" vertical="center"/>
    </xf>
    <xf numFmtId="0" fontId="8" fillId="6" borderId="10" xfId="0" applyFont="1" applyFill="1" applyBorder="1" applyAlignment="1">
      <alignment horizontal="center"/>
    </xf>
    <xf numFmtId="0" fontId="8" fillId="6" borderId="12" xfId="0" applyFont="1" applyFill="1" applyBorder="1" applyAlignment="1">
      <alignment horizontal="center"/>
    </xf>
    <xf numFmtId="0" fontId="8" fillId="6" borderId="5" xfId="0" applyFont="1" applyFill="1" applyBorder="1" applyAlignment="1">
      <alignment horizontal="center"/>
    </xf>
    <xf numFmtId="0" fontId="8" fillId="0" borderId="13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8" fillId="0" borderId="21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7" fillId="2" borderId="20" xfId="0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/>
    </xf>
    <xf numFmtId="0" fontId="8" fillId="0" borderId="10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28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0" fillId="0" borderId="2" xfId="0" applyBorder="1" applyAlignment="1">
      <alignment horizontal="center"/>
    </xf>
    <xf numFmtId="0" fontId="8" fillId="0" borderId="14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9" fillId="3" borderId="13" xfId="0" applyFont="1" applyFill="1" applyBorder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9" fillId="3" borderId="16" xfId="0" applyFont="1" applyFill="1" applyBorder="1" applyAlignment="1">
      <alignment horizontal="center" vertical="center"/>
    </xf>
    <xf numFmtId="2" fontId="11" fillId="0" borderId="1" xfId="0" applyNumberFormat="1" applyFont="1" applyBorder="1" applyAlignment="1">
      <alignment horizontal="right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0070C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O26"/>
  <sheetViews>
    <sheetView workbookViewId="0">
      <selection activeCell="I19" sqref="I19"/>
    </sheetView>
  </sheetViews>
  <sheetFormatPr defaultRowHeight="14.4" x14ac:dyDescent="0.3"/>
  <cols>
    <col min="4" max="4" width="22.5546875" customWidth="1"/>
    <col min="9" max="9" width="32.88671875" customWidth="1"/>
    <col min="10" max="10" width="10.5546875" customWidth="1"/>
    <col min="12" max="12" width="12.109375" customWidth="1"/>
    <col min="14" max="14" width="20" customWidth="1"/>
  </cols>
  <sheetData>
    <row r="1" spans="2:10" x14ac:dyDescent="0.3">
      <c r="C1" s="49" t="s">
        <v>0</v>
      </c>
      <c r="D1" s="50"/>
      <c r="E1" s="50"/>
      <c r="F1" s="51"/>
      <c r="H1" s="30" t="s">
        <v>1</v>
      </c>
      <c r="I1" s="30"/>
      <c r="J1" s="30"/>
    </row>
    <row r="2" spans="2:10" x14ac:dyDescent="0.3">
      <c r="H2" s="52" t="s">
        <v>2</v>
      </c>
      <c r="I2" s="52"/>
      <c r="J2" s="52"/>
    </row>
    <row r="3" spans="2:10" x14ac:dyDescent="0.3">
      <c r="H3" s="2"/>
      <c r="I3" s="2" t="s">
        <v>3</v>
      </c>
      <c r="J3" s="2" t="s">
        <v>4</v>
      </c>
    </row>
    <row r="4" spans="2:10" x14ac:dyDescent="0.3">
      <c r="H4" s="2" t="s">
        <v>5</v>
      </c>
      <c r="I4" s="2" t="s">
        <v>69</v>
      </c>
      <c r="J4" s="2" t="s">
        <v>70</v>
      </c>
    </row>
    <row r="5" spans="2:10" x14ac:dyDescent="0.3">
      <c r="H5" s="2" t="s">
        <v>6</v>
      </c>
      <c r="I5" s="2" t="s">
        <v>71</v>
      </c>
      <c r="J5" s="2" t="s">
        <v>70</v>
      </c>
    </row>
    <row r="6" spans="2:10" x14ac:dyDescent="0.3">
      <c r="B6" s="18"/>
      <c r="H6" s="2" t="s">
        <v>7</v>
      </c>
      <c r="I6" s="2" t="s">
        <v>72</v>
      </c>
      <c r="J6" s="2" t="s">
        <v>70</v>
      </c>
    </row>
    <row r="7" spans="2:10" ht="14.4" customHeight="1" x14ac:dyDescent="0.3"/>
    <row r="8" spans="2:10" x14ac:dyDescent="0.3">
      <c r="B8" s="28" t="s">
        <v>8</v>
      </c>
    </row>
    <row r="9" spans="2:10" x14ac:dyDescent="0.3">
      <c r="B9" s="1" t="s">
        <v>9</v>
      </c>
    </row>
    <row r="10" spans="2:10" x14ac:dyDescent="0.3">
      <c r="B10" s="1" t="s">
        <v>10</v>
      </c>
    </row>
    <row r="11" spans="2:10" x14ac:dyDescent="0.3">
      <c r="B11" s="1" t="s">
        <v>11</v>
      </c>
    </row>
    <row r="12" spans="2:10" x14ac:dyDescent="0.3">
      <c r="B12" s="1"/>
      <c r="C12" s="1"/>
      <c r="D12" s="1"/>
      <c r="E12" s="1"/>
    </row>
    <row r="13" spans="2:10" x14ac:dyDescent="0.3">
      <c r="B13" s="1"/>
      <c r="C13" s="1"/>
      <c r="D13" s="1"/>
      <c r="E13" s="1"/>
    </row>
    <row r="14" spans="2:10" x14ac:dyDescent="0.3">
      <c r="B14" t="s">
        <v>12</v>
      </c>
      <c r="C14" s="1"/>
      <c r="D14" s="1"/>
      <c r="E14" s="1"/>
    </row>
    <row r="15" spans="2:10" x14ac:dyDescent="0.3">
      <c r="B15" t="s">
        <v>13</v>
      </c>
      <c r="C15" s="1"/>
      <c r="D15" s="1"/>
      <c r="E15" s="1"/>
    </row>
    <row r="16" spans="2:10" x14ac:dyDescent="0.3">
      <c r="B16" t="s">
        <v>14</v>
      </c>
      <c r="C16" s="1"/>
      <c r="D16" s="1"/>
      <c r="E16" s="1"/>
    </row>
    <row r="17" spans="1:15" x14ac:dyDescent="0.3">
      <c r="B17" s="1"/>
      <c r="D17" s="1"/>
      <c r="E17" s="1"/>
    </row>
    <row r="18" spans="1:15" x14ac:dyDescent="0.3">
      <c r="B18" s="28" t="s">
        <v>15</v>
      </c>
    </row>
    <row r="19" spans="1:15" x14ac:dyDescent="0.3">
      <c r="B19" s="1" t="s">
        <v>16</v>
      </c>
    </row>
    <row r="20" spans="1:15" x14ac:dyDescent="0.3">
      <c r="C20" s="26" t="s">
        <v>17</v>
      </c>
    </row>
    <row r="21" spans="1:15" x14ac:dyDescent="0.3">
      <c r="B21" s="1" t="s">
        <v>18</v>
      </c>
    </row>
    <row r="22" spans="1:15" x14ac:dyDescent="0.3">
      <c r="B22" s="1" t="s">
        <v>19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x14ac:dyDescent="0.3">
      <c r="B23" s="1" t="s">
        <v>20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14.4" customHeight="1" x14ac:dyDescent="0.3">
      <c r="A24" s="27"/>
      <c r="B24" s="48" t="s">
        <v>21</v>
      </c>
      <c r="C24" s="48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/>
    </row>
    <row r="26" spans="1:15" x14ac:dyDescent="0.3">
      <c r="C26" s="29"/>
    </row>
  </sheetData>
  <mergeCells count="3">
    <mergeCell ref="B24:N24"/>
    <mergeCell ref="C1:F1"/>
    <mergeCell ref="H2:J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B1:Q20"/>
  <sheetViews>
    <sheetView tabSelected="1" zoomScale="85" zoomScaleNormal="85" workbookViewId="0">
      <selection activeCell="H15" sqref="H15"/>
    </sheetView>
  </sheetViews>
  <sheetFormatPr defaultRowHeight="14.4" x14ac:dyDescent="0.3"/>
  <cols>
    <col min="2" max="2" width="10.109375" bestFit="1" customWidth="1"/>
    <col min="3" max="4" width="18.109375" bestFit="1" customWidth="1"/>
    <col min="5" max="5" width="24.5546875" customWidth="1"/>
    <col min="6" max="6" width="5.88671875" customWidth="1"/>
    <col min="7" max="7" width="8" customWidth="1"/>
    <col min="8" max="8" width="15.33203125" customWidth="1"/>
    <col min="9" max="9" width="4.5546875" customWidth="1"/>
    <col min="10" max="10" width="14.21875" customWidth="1"/>
    <col min="11" max="11" width="17.33203125" customWidth="1"/>
    <col min="12" max="12" width="16.5546875" customWidth="1"/>
    <col min="13" max="13" width="3.33203125" customWidth="1"/>
    <col min="14" max="14" width="5.44140625" customWidth="1"/>
    <col min="15" max="15" width="8.21875" customWidth="1"/>
    <col min="16" max="16" width="29.44140625" customWidth="1"/>
    <col min="17" max="17" width="10.88671875" customWidth="1"/>
  </cols>
  <sheetData>
    <row r="1" spans="2:17" x14ac:dyDescent="0.3">
      <c r="B1" s="49" t="s">
        <v>0</v>
      </c>
      <c r="C1" s="50"/>
      <c r="D1" s="50"/>
      <c r="E1" s="51"/>
    </row>
    <row r="3" spans="2:17" x14ac:dyDescent="0.3">
      <c r="B3" s="58" t="s">
        <v>118</v>
      </c>
      <c r="C3" s="59"/>
      <c r="D3" s="59"/>
      <c r="E3" s="59"/>
      <c r="F3" s="59"/>
      <c r="G3" s="60"/>
    </row>
    <row r="5" spans="2:17" x14ac:dyDescent="0.3">
      <c r="B5" s="61" t="s">
        <v>22</v>
      </c>
      <c r="C5" s="61"/>
      <c r="D5" s="61"/>
      <c r="E5" s="61"/>
      <c r="G5" s="62" t="s">
        <v>23</v>
      </c>
      <c r="H5" s="63"/>
      <c r="I5" s="63"/>
      <c r="J5" s="63"/>
      <c r="K5" s="63"/>
      <c r="L5" s="63"/>
      <c r="M5" s="63"/>
      <c r="N5" s="63"/>
      <c r="O5" s="63"/>
      <c r="P5" s="63"/>
      <c r="Q5" s="64"/>
    </row>
    <row r="6" spans="2:17" ht="14.4" customHeight="1" x14ac:dyDescent="0.3">
      <c r="B6" s="12" t="s">
        <v>24</v>
      </c>
      <c r="C6" s="12" t="s">
        <v>25</v>
      </c>
      <c r="D6" s="12" t="s">
        <v>26</v>
      </c>
      <c r="E6" s="12" t="s">
        <v>27</v>
      </c>
      <c r="G6" s="65" t="s">
        <v>28</v>
      </c>
      <c r="H6" s="67" t="s">
        <v>29</v>
      </c>
      <c r="I6" s="69" t="s">
        <v>30</v>
      </c>
      <c r="J6" s="71"/>
      <c r="K6" s="71"/>
      <c r="L6" s="71"/>
      <c r="M6" s="71"/>
      <c r="N6" s="71"/>
      <c r="O6" s="70"/>
      <c r="P6" s="69" t="s">
        <v>31</v>
      </c>
      <c r="Q6" s="70"/>
    </row>
    <row r="7" spans="2:17" x14ac:dyDescent="0.3">
      <c r="B7" s="4">
        <v>1</v>
      </c>
      <c r="C7" s="56" t="s">
        <v>90</v>
      </c>
      <c r="D7" s="4" t="s">
        <v>93</v>
      </c>
      <c r="E7" s="4"/>
      <c r="G7" s="66"/>
      <c r="H7" s="68"/>
      <c r="I7" s="12" t="s">
        <v>75</v>
      </c>
      <c r="J7" s="12" t="s">
        <v>76</v>
      </c>
      <c r="K7" s="12" t="s">
        <v>77</v>
      </c>
      <c r="L7" s="12" t="s">
        <v>32</v>
      </c>
      <c r="M7" s="69" t="s">
        <v>78</v>
      </c>
      <c r="N7" s="71"/>
      <c r="O7" s="70"/>
      <c r="P7" s="69" t="s">
        <v>33</v>
      </c>
      <c r="Q7" s="70"/>
    </row>
    <row r="8" spans="2:17" x14ac:dyDescent="0.3">
      <c r="B8" s="4">
        <v>4</v>
      </c>
      <c r="C8" s="57"/>
      <c r="D8" s="4"/>
      <c r="E8" s="4" t="s">
        <v>135</v>
      </c>
      <c r="G8" s="32">
        <v>1</v>
      </c>
      <c r="H8" s="17" t="s">
        <v>136</v>
      </c>
      <c r="I8" s="17">
        <v>15</v>
      </c>
      <c r="J8" s="33">
        <v>10</v>
      </c>
      <c r="K8" s="17" t="s">
        <v>79</v>
      </c>
      <c r="L8" s="17" t="s">
        <v>80</v>
      </c>
      <c r="M8" s="53" t="s">
        <v>81</v>
      </c>
      <c r="N8" s="72"/>
      <c r="O8" s="54"/>
      <c r="P8" s="53" t="s">
        <v>34</v>
      </c>
      <c r="Q8" s="54"/>
    </row>
    <row r="9" spans="2:17" ht="15" customHeight="1" x14ac:dyDescent="0.3">
      <c r="B9" s="4">
        <v>5</v>
      </c>
      <c r="C9" s="55" t="s">
        <v>133</v>
      </c>
      <c r="D9" s="4" t="s">
        <v>134</v>
      </c>
      <c r="E9" s="4"/>
      <c r="G9" s="32">
        <v>2</v>
      </c>
      <c r="H9" s="17" t="s">
        <v>137</v>
      </c>
      <c r="I9" s="17">
        <v>16</v>
      </c>
      <c r="J9" s="33">
        <v>15</v>
      </c>
      <c r="K9" s="17" t="s">
        <v>36</v>
      </c>
      <c r="L9" s="17" t="s">
        <v>83</v>
      </c>
      <c r="M9" s="53" t="s">
        <v>100</v>
      </c>
      <c r="N9" s="72"/>
      <c r="O9" s="54"/>
      <c r="P9" s="53" t="s">
        <v>103</v>
      </c>
      <c r="Q9" s="54"/>
    </row>
    <row r="10" spans="2:17" x14ac:dyDescent="0.3">
      <c r="B10" s="4">
        <v>6</v>
      </c>
      <c r="C10" s="55"/>
      <c r="D10" s="4"/>
      <c r="E10" s="4" t="s">
        <v>74</v>
      </c>
      <c r="G10" s="32">
        <v>3</v>
      </c>
      <c r="H10" s="17" t="s">
        <v>138</v>
      </c>
      <c r="I10" s="17">
        <v>17</v>
      </c>
      <c r="J10" s="33">
        <v>18.5</v>
      </c>
      <c r="K10" s="17" t="s">
        <v>89</v>
      </c>
      <c r="L10" s="17" t="s">
        <v>101</v>
      </c>
      <c r="M10" s="53" t="s">
        <v>102</v>
      </c>
      <c r="N10" s="72"/>
      <c r="O10" s="54"/>
      <c r="P10" s="53" t="s">
        <v>103</v>
      </c>
      <c r="Q10" s="54"/>
    </row>
    <row r="11" spans="2:17" x14ac:dyDescent="0.3">
      <c r="B11" s="4">
        <v>7</v>
      </c>
      <c r="C11" s="56" t="s">
        <v>92</v>
      </c>
      <c r="D11" s="4" t="s">
        <v>94</v>
      </c>
      <c r="E11" s="4"/>
      <c r="G11" s="32">
        <v>4</v>
      </c>
      <c r="H11" s="17" t="s">
        <v>139</v>
      </c>
      <c r="I11" s="17">
        <v>18</v>
      </c>
      <c r="J11" s="33">
        <v>-5</v>
      </c>
      <c r="K11" s="17" t="s">
        <v>104</v>
      </c>
      <c r="L11" s="17" t="s">
        <v>105</v>
      </c>
      <c r="M11" s="53" t="s">
        <v>102</v>
      </c>
      <c r="N11" s="72"/>
      <c r="O11" s="54"/>
      <c r="P11" s="53" t="s">
        <v>106</v>
      </c>
      <c r="Q11" s="54"/>
    </row>
    <row r="12" spans="2:17" x14ac:dyDescent="0.3">
      <c r="B12" s="4">
        <v>8</v>
      </c>
      <c r="C12" s="57"/>
      <c r="D12" s="4"/>
      <c r="E12" s="4" t="s">
        <v>95</v>
      </c>
    </row>
    <row r="13" spans="2:17" x14ac:dyDescent="0.3">
      <c r="B13" s="4">
        <v>9</v>
      </c>
      <c r="C13" s="55" t="s">
        <v>96</v>
      </c>
      <c r="D13" s="4" t="s">
        <v>97</v>
      </c>
      <c r="E13" s="4"/>
    </row>
    <row r="14" spans="2:17" x14ac:dyDescent="0.3">
      <c r="B14" s="4">
        <v>10</v>
      </c>
      <c r="C14" s="55"/>
      <c r="D14" s="4"/>
      <c r="E14" s="4" t="s">
        <v>98</v>
      </c>
    </row>
    <row r="15" spans="2:17" x14ac:dyDescent="0.3">
      <c r="B15" s="34">
        <v>11</v>
      </c>
      <c r="C15" s="106" t="s">
        <v>73</v>
      </c>
      <c r="D15" s="34" t="s">
        <v>73</v>
      </c>
      <c r="E15" s="34"/>
    </row>
    <row r="16" spans="2:17" x14ac:dyDescent="0.3">
      <c r="B16" s="34">
        <v>12</v>
      </c>
      <c r="C16" s="107"/>
      <c r="D16" s="34" t="s">
        <v>37</v>
      </c>
      <c r="E16" s="34" t="s">
        <v>91</v>
      </c>
    </row>
    <row r="20" spans="6:7" x14ac:dyDescent="0.3">
      <c r="F20" s="73"/>
      <c r="G20" s="73"/>
    </row>
  </sheetData>
  <mergeCells count="24">
    <mergeCell ref="C15:C16"/>
    <mergeCell ref="F20:G20"/>
    <mergeCell ref="P11:Q11"/>
    <mergeCell ref="P10:Q10"/>
    <mergeCell ref="M7:O7"/>
    <mergeCell ref="M8:O8"/>
    <mergeCell ref="M9:O9"/>
    <mergeCell ref="C13:C14"/>
    <mergeCell ref="B3:G3"/>
    <mergeCell ref="B5:E5"/>
    <mergeCell ref="G5:Q5"/>
    <mergeCell ref="G6:G7"/>
    <mergeCell ref="H6:H7"/>
    <mergeCell ref="P6:Q6"/>
    <mergeCell ref="I6:O6"/>
    <mergeCell ref="P7:Q7"/>
    <mergeCell ref="M10:O10"/>
    <mergeCell ref="M11:O11"/>
    <mergeCell ref="C7:C8"/>
    <mergeCell ref="P9:Q9"/>
    <mergeCell ref="P8:Q8"/>
    <mergeCell ref="B1:E1"/>
    <mergeCell ref="C9:C10"/>
    <mergeCell ref="C11:C12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B1:Q15"/>
  <sheetViews>
    <sheetView topLeftCell="B1" zoomScale="90" zoomScaleNormal="90" workbookViewId="0">
      <selection activeCell="D17" sqref="D17"/>
    </sheetView>
  </sheetViews>
  <sheetFormatPr defaultRowHeight="14.4" x14ac:dyDescent="0.3"/>
  <cols>
    <col min="2" max="2" width="11.33203125" bestFit="1" customWidth="1"/>
    <col min="3" max="3" width="30.77734375" customWidth="1"/>
    <col min="4" max="4" width="57.5546875" customWidth="1"/>
    <col min="5" max="5" width="7" customWidth="1"/>
    <col min="6" max="6" width="5.5546875" customWidth="1"/>
    <col min="7" max="7" width="9.44140625" customWidth="1"/>
    <col min="8" max="8" width="10.21875" customWidth="1"/>
    <col min="9" max="9" width="10" customWidth="1"/>
    <col min="10" max="10" width="10.109375" bestFit="1" customWidth="1"/>
    <col min="11" max="11" width="9.5546875" customWidth="1"/>
    <col min="12" max="12" width="18.33203125" bestFit="1" customWidth="1"/>
    <col min="13" max="14" width="23.88671875" customWidth="1"/>
    <col min="15" max="15" width="26.88671875" customWidth="1"/>
    <col min="16" max="16" width="37.109375" customWidth="1"/>
    <col min="17" max="17" width="22" customWidth="1"/>
  </cols>
  <sheetData>
    <row r="1" spans="2:17" x14ac:dyDescent="0.3">
      <c r="B1" s="49" t="s">
        <v>0</v>
      </c>
      <c r="C1" s="50"/>
      <c r="D1" s="50"/>
      <c r="E1" s="51"/>
    </row>
    <row r="3" spans="2:17" x14ac:dyDescent="0.3">
      <c r="B3" s="58" t="s">
        <v>118</v>
      </c>
      <c r="C3" s="59"/>
      <c r="D3" s="59"/>
      <c r="E3" s="59"/>
      <c r="F3" s="59"/>
      <c r="G3" s="60"/>
    </row>
    <row r="5" spans="2:17" x14ac:dyDescent="0.3">
      <c r="B5" s="77" t="s">
        <v>38</v>
      </c>
      <c r="C5" s="77"/>
      <c r="D5" s="77"/>
      <c r="E5" s="3"/>
      <c r="G5" s="62" t="s">
        <v>39</v>
      </c>
      <c r="H5" s="63"/>
      <c r="I5" s="63"/>
      <c r="J5" s="63"/>
      <c r="K5" s="63"/>
      <c r="L5" s="63"/>
      <c r="M5" s="63"/>
      <c r="N5" s="63"/>
      <c r="O5" s="63"/>
      <c r="P5" s="63"/>
      <c r="Q5" s="64"/>
    </row>
    <row r="6" spans="2:17" ht="14.4" customHeight="1" x14ac:dyDescent="0.3">
      <c r="B6" s="4" t="s">
        <v>40</v>
      </c>
      <c r="C6" s="4" t="s">
        <v>25</v>
      </c>
      <c r="D6" s="4" t="s">
        <v>38</v>
      </c>
      <c r="E6" s="6"/>
      <c r="G6" s="65" t="s">
        <v>41</v>
      </c>
      <c r="H6" s="65" t="s">
        <v>42</v>
      </c>
      <c r="I6" s="65" t="s">
        <v>43</v>
      </c>
      <c r="J6" s="67" t="s">
        <v>44</v>
      </c>
      <c r="K6" s="78" t="s">
        <v>30</v>
      </c>
      <c r="L6" s="81"/>
      <c r="M6" s="81"/>
      <c r="N6" s="81"/>
      <c r="O6" s="79"/>
      <c r="P6" s="78" t="s">
        <v>31</v>
      </c>
      <c r="Q6" s="79"/>
    </row>
    <row r="7" spans="2:17" x14ac:dyDescent="0.3">
      <c r="B7" s="56">
        <v>1</v>
      </c>
      <c r="C7" s="75" t="s">
        <v>107</v>
      </c>
      <c r="D7" s="37" t="s">
        <v>110</v>
      </c>
      <c r="G7" s="66"/>
      <c r="H7" s="66"/>
      <c r="I7" s="66"/>
      <c r="J7" s="68"/>
      <c r="K7" s="38" t="s">
        <v>75</v>
      </c>
      <c r="L7" s="39" t="s">
        <v>77</v>
      </c>
      <c r="M7" s="38" t="s">
        <v>117</v>
      </c>
      <c r="N7" s="38" t="s">
        <v>32</v>
      </c>
      <c r="O7" s="38" t="s">
        <v>78</v>
      </c>
      <c r="P7" s="80" t="s">
        <v>45</v>
      </c>
      <c r="Q7" s="82"/>
    </row>
    <row r="8" spans="2:17" x14ac:dyDescent="0.3">
      <c r="B8" s="74"/>
      <c r="C8" s="76"/>
      <c r="D8" s="37" t="s">
        <v>109</v>
      </c>
      <c r="G8" s="36">
        <v>1</v>
      </c>
      <c r="H8" s="11" t="s">
        <v>119</v>
      </c>
      <c r="I8" s="10" t="s">
        <v>88</v>
      </c>
      <c r="J8" s="10" t="s">
        <v>85</v>
      </c>
      <c r="K8" s="10">
        <v>19</v>
      </c>
      <c r="L8" s="17" t="s">
        <v>99</v>
      </c>
      <c r="M8" s="17">
        <v>-0.01</v>
      </c>
      <c r="N8" s="17" t="s">
        <v>83</v>
      </c>
      <c r="O8" s="17" t="s">
        <v>84</v>
      </c>
      <c r="P8" s="53" t="s">
        <v>127</v>
      </c>
      <c r="Q8" s="54"/>
    </row>
    <row r="9" spans="2:17" x14ac:dyDescent="0.3">
      <c r="B9" s="74"/>
      <c r="C9" s="76"/>
      <c r="D9" s="37" t="s">
        <v>111</v>
      </c>
      <c r="G9" s="36">
        <v>2</v>
      </c>
      <c r="H9" s="11" t="s">
        <v>120</v>
      </c>
      <c r="I9" s="10" t="s">
        <v>88</v>
      </c>
      <c r="J9" s="10" t="s">
        <v>85</v>
      </c>
      <c r="K9" s="10">
        <v>20</v>
      </c>
      <c r="L9" s="17" t="s">
        <v>124</v>
      </c>
      <c r="M9" s="33">
        <v>0</v>
      </c>
      <c r="N9" s="17" t="s">
        <v>105</v>
      </c>
      <c r="O9" s="17" t="s">
        <v>102</v>
      </c>
      <c r="P9" s="53" t="s">
        <v>127</v>
      </c>
      <c r="Q9" s="54"/>
    </row>
    <row r="10" spans="2:17" x14ac:dyDescent="0.3">
      <c r="B10" s="74"/>
      <c r="C10" s="76"/>
      <c r="D10" s="37" t="s">
        <v>112</v>
      </c>
      <c r="G10" s="36">
        <v>3</v>
      </c>
      <c r="H10" s="11" t="s">
        <v>55</v>
      </c>
      <c r="I10" s="10" t="s">
        <v>53</v>
      </c>
      <c r="J10" s="10" t="s">
        <v>85</v>
      </c>
      <c r="K10" s="10">
        <v>21</v>
      </c>
      <c r="L10" s="17" t="s">
        <v>79</v>
      </c>
      <c r="M10" s="17">
        <v>0.01</v>
      </c>
      <c r="N10" s="17" t="s">
        <v>80</v>
      </c>
      <c r="O10" s="17" t="s">
        <v>81</v>
      </c>
      <c r="P10" s="53" t="s">
        <v>34</v>
      </c>
      <c r="Q10" s="54"/>
    </row>
    <row r="11" spans="2:17" x14ac:dyDescent="0.3">
      <c r="B11" s="56">
        <v>2</v>
      </c>
      <c r="C11" s="55" t="s">
        <v>108</v>
      </c>
      <c r="D11" s="2" t="s">
        <v>113</v>
      </c>
      <c r="G11" s="36">
        <v>4</v>
      </c>
      <c r="H11" s="11" t="s">
        <v>56</v>
      </c>
      <c r="I11" s="10" t="s">
        <v>53</v>
      </c>
      <c r="J11" s="10" t="s">
        <v>85</v>
      </c>
      <c r="K11" s="10">
        <v>22</v>
      </c>
      <c r="L11" s="17" t="s">
        <v>125</v>
      </c>
      <c r="M11" s="17">
        <v>0.02</v>
      </c>
      <c r="N11" s="17" t="s">
        <v>105</v>
      </c>
      <c r="O11" s="17" t="s">
        <v>81</v>
      </c>
      <c r="P11" s="53" t="s">
        <v>34</v>
      </c>
      <c r="Q11" s="54"/>
    </row>
    <row r="12" spans="2:17" x14ac:dyDescent="0.3">
      <c r="B12" s="74"/>
      <c r="C12" s="55"/>
      <c r="D12" s="2" t="s">
        <v>114</v>
      </c>
      <c r="G12" s="40">
        <v>5</v>
      </c>
      <c r="H12" s="11" t="s">
        <v>57</v>
      </c>
      <c r="I12" s="34" t="s">
        <v>86</v>
      </c>
      <c r="J12" s="10" t="s">
        <v>85</v>
      </c>
      <c r="K12" s="34">
        <v>23</v>
      </c>
      <c r="L12" s="2" t="s">
        <v>89</v>
      </c>
      <c r="M12" s="31">
        <v>10</v>
      </c>
      <c r="N12" s="2" t="s">
        <v>80</v>
      </c>
      <c r="O12" s="2" t="s">
        <v>82</v>
      </c>
      <c r="P12" s="120" t="s">
        <v>128</v>
      </c>
      <c r="Q12" s="121"/>
    </row>
    <row r="13" spans="2:17" x14ac:dyDescent="0.3">
      <c r="B13" s="74"/>
      <c r="C13" s="55"/>
      <c r="D13" s="2" t="s">
        <v>115</v>
      </c>
      <c r="G13" s="40">
        <v>6</v>
      </c>
      <c r="H13" s="11" t="s">
        <v>121</v>
      </c>
      <c r="I13" s="34" t="s">
        <v>54</v>
      </c>
      <c r="J13" s="10" t="s">
        <v>85</v>
      </c>
      <c r="K13" s="34">
        <v>24</v>
      </c>
      <c r="L13" s="2" t="s">
        <v>36</v>
      </c>
      <c r="M13" s="31">
        <v>12</v>
      </c>
      <c r="N13" s="2" t="s">
        <v>105</v>
      </c>
      <c r="O13" s="2" t="s">
        <v>82</v>
      </c>
      <c r="P13" s="120" t="s">
        <v>129</v>
      </c>
      <c r="Q13" s="121"/>
    </row>
    <row r="14" spans="2:17" x14ac:dyDescent="0.3">
      <c r="B14" s="57"/>
      <c r="C14" s="55"/>
      <c r="D14" s="2" t="s">
        <v>116</v>
      </c>
      <c r="G14" s="40">
        <v>7</v>
      </c>
      <c r="H14" s="11" t="s">
        <v>122</v>
      </c>
      <c r="I14" s="34" t="s">
        <v>53</v>
      </c>
      <c r="J14" s="10" t="s">
        <v>85</v>
      </c>
      <c r="K14" s="34">
        <v>25</v>
      </c>
      <c r="L14" s="2" t="s">
        <v>87</v>
      </c>
      <c r="M14" s="31">
        <v>15</v>
      </c>
      <c r="N14" s="2" t="s">
        <v>80</v>
      </c>
      <c r="O14" s="2" t="s">
        <v>82</v>
      </c>
      <c r="P14" s="120" t="s">
        <v>34</v>
      </c>
      <c r="Q14" s="121"/>
    </row>
    <row r="15" spans="2:17" x14ac:dyDescent="0.3">
      <c r="G15" s="40">
        <v>8</v>
      </c>
      <c r="H15" s="11" t="s">
        <v>123</v>
      </c>
      <c r="I15" s="34" t="s">
        <v>53</v>
      </c>
      <c r="J15" s="10" t="s">
        <v>85</v>
      </c>
      <c r="K15" s="34">
        <v>26</v>
      </c>
      <c r="L15" s="2" t="s">
        <v>126</v>
      </c>
      <c r="M15" s="31">
        <v>20</v>
      </c>
      <c r="N15" s="2" t="s">
        <v>83</v>
      </c>
      <c r="O15" s="2" t="s">
        <v>100</v>
      </c>
      <c r="P15" s="120" t="s">
        <v>34</v>
      </c>
      <c r="Q15" s="121"/>
    </row>
  </sheetData>
  <mergeCells count="23">
    <mergeCell ref="P12:Q12"/>
    <mergeCell ref="P11:Q11"/>
    <mergeCell ref="P8:Q8"/>
    <mergeCell ref="P15:Q15"/>
    <mergeCell ref="P9:Q9"/>
    <mergeCell ref="P13:Q13"/>
    <mergeCell ref="H6:H7"/>
    <mergeCell ref="P10:Q10"/>
    <mergeCell ref="P7:Q7"/>
    <mergeCell ref="K6:O6"/>
    <mergeCell ref="P14:Q14"/>
    <mergeCell ref="B1:E1"/>
    <mergeCell ref="G6:G7"/>
    <mergeCell ref="I6:I7"/>
    <mergeCell ref="J6:J7"/>
    <mergeCell ref="B11:B14"/>
    <mergeCell ref="C11:C14"/>
    <mergeCell ref="C7:C10"/>
    <mergeCell ref="B7:B10"/>
    <mergeCell ref="G5:Q5"/>
    <mergeCell ref="B3:G3"/>
    <mergeCell ref="B5:D5"/>
    <mergeCell ref="P6:Q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7" tint="-0.249977111117893"/>
  </sheetPr>
  <dimension ref="B1:O23"/>
  <sheetViews>
    <sheetView workbookViewId="0">
      <selection activeCell="D22" sqref="D22"/>
    </sheetView>
  </sheetViews>
  <sheetFormatPr defaultRowHeight="14.4" x14ac:dyDescent="0.3"/>
  <cols>
    <col min="6" max="6" width="12.109375" bestFit="1" customWidth="1"/>
    <col min="7" max="7" width="17.5546875" bestFit="1" customWidth="1"/>
    <col min="8" max="8" width="10.5546875" customWidth="1"/>
    <col min="9" max="9" width="17" customWidth="1"/>
    <col min="11" max="11" width="9.88671875" customWidth="1"/>
    <col min="12" max="12" width="34.77734375" customWidth="1"/>
    <col min="13" max="13" width="10.88671875" customWidth="1"/>
  </cols>
  <sheetData>
    <row r="1" spans="2:13" x14ac:dyDescent="0.3">
      <c r="B1" s="49" t="s">
        <v>0</v>
      </c>
      <c r="C1" s="50"/>
      <c r="D1" s="50"/>
      <c r="E1" s="51"/>
    </row>
    <row r="3" spans="2:13" x14ac:dyDescent="0.3">
      <c r="B3" s="88" t="s">
        <v>46</v>
      </c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</row>
    <row r="4" spans="2:13" ht="14.4" customHeight="1" x14ac:dyDescent="0.3">
      <c r="B4" s="65" t="s">
        <v>47</v>
      </c>
      <c r="C4" s="87" t="s">
        <v>48</v>
      </c>
      <c r="D4" s="83" t="s">
        <v>49</v>
      </c>
      <c r="E4" s="67" t="s">
        <v>50</v>
      </c>
      <c r="F4" s="69" t="s">
        <v>30</v>
      </c>
      <c r="G4" s="71"/>
      <c r="H4" s="71"/>
      <c r="I4" s="71"/>
      <c r="J4" s="71"/>
      <c r="K4" s="70"/>
      <c r="L4" s="86" t="s">
        <v>31</v>
      </c>
      <c r="M4" s="86"/>
    </row>
    <row r="5" spans="2:13" x14ac:dyDescent="0.3">
      <c r="B5" s="108"/>
      <c r="C5" s="109"/>
      <c r="D5" s="110"/>
      <c r="E5" s="111"/>
      <c r="F5" s="35" t="s">
        <v>75</v>
      </c>
      <c r="G5" s="35" t="s">
        <v>77</v>
      </c>
      <c r="H5" s="35" t="s">
        <v>117</v>
      </c>
      <c r="I5" s="35" t="s">
        <v>32</v>
      </c>
      <c r="J5" s="112" t="s">
        <v>78</v>
      </c>
      <c r="K5" s="113"/>
      <c r="L5" s="35" t="s">
        <v>33</v>
      </c>
      <c r="M5" s="35" t="s">
        <v>51</v>
      </c>
    </row>
    <row r="6" spans="2:13" x14ac:dyDescent="0.3">
      <c r="B6" s="8">
        <v>1</v>
      </c>
      <c r="C6" s="116" t="s">
        <v>52</v>
      </c>
      <c r="D6" s="36" t="s">
        <v>53</v>
      </c>
      <c r="E6" s="8" t="s">
        <v>35</v>
      </c>
      <c r="F6" s="38">
        <v>15</v>
      </c>
      <c r="G6" s="9" t="s">
        <v>79</v>
      </c>
      <c r="H6" s="45">
        <v>10</v>
      </c>
      <c r="I6" s="9" t="s">
        <v>80</v>
      </c>
      <c r="J6" s="114" t="s">
        <v>81</v>
      </c>
      <c r="K6" s="114"/>
      <c r="L6" s="7" t="s">
        <v>34</v>
      </c>
      <c r="M6" s="41" t="s">
        <v>132</v>
      </c>
    </row>
    <row r="7" spans="2:13" x14ac:dyDescent="0.3">
      <c r="B7" s="8">
        <f>B6+1</f>
        <v>2</v>
      </c>
      <c r="C7" s="117"/>
      <c r="D7" s="36" t="s">
        <v>86</v>
      </c>
      <c r="E7" s="8" t="s">
        <v>35</v>
      </c>
      <c r="F7" s="38">
        <v>16</v>
      </c>
      <c r="G7" s="9" t="s">
        <v>36</v>
      </c>
      <c r="H7" s="45">
        <v>12</v>
      </c>
      <c r="I7" s="9" t="s">
        <v>83</v>
      </c>
      <c r="J7" s="114" t="s">
        <v>100</v>
      </c>
      <c r="K7" s="114"/>
      <c r="L7" s="7" t="s">
        <v>129</v>
      </c>
      <c r="M7" s="41" t="s">
        <v>132</v>
      </c>
    </row>
    <row r="8" spans="2:13" x14ac:dyDescent="0.3">
      <c r="B8" s="8">
        <f t="shared" ref="B8:B14" si="0">B7+1</f>
        <v>3</v>
      </c>
      <c r="C8" s="117"/>
      <c r="D8" s="36" t="s">
        <v>54</v>
      </c>
      <c r="E8" s="8" t="s">
        <v>35</v>
      </c>
      <c r="F8" s="38">
        <v>17</v>
      </c>
      <c r="G8" s="9" t="s">
        <v>89</v>
      </c>
      <c r="H8" s="45">
        <v>18.5</v>
      </c>
      <c r="I8" s="9" t="s">
        <v>101</v>
      </c>
      <c r="J8" s="114" t="s">
        <v>102</v>
      </c>
      <c r="K8" s="114"/>
      <c r="L8" s="7" t="s">
        <v>129</v>
      </c>
      <c r="M8" s="41" t="s">
        <v>132</v>
      </c>
    </row>
    <row r="9" spans="2:13" x14ac:dyDescent="0.3">
      <c r="B9" s="8">
        <f t="shared" si="0"/>
        <v>4</v>
      </c>
      <c r="C9" s="117"/>
      <c r="D9" s="36" t="s">
        <v>88</v>
      </c>
      <c r="E9" s="8" t="s">
        <v>35</v>
      </c>
      <c r="F9" s="41">
        <v>18</v>
      </c>
      <c r="G9" s="43" t="s">
        <v>104</v>
      </c>
      <c r="H9" s="46">
        <v>-5</v>
      </c>
      <c r="I9" s="43" t="s">
        <v>105</v>
      </c>
      <c r="J9" s="115" t="s">
        <v>102</v>
      </c>
      <c r="K9" s="115"/>
      <c r="L9" s="43" t="s">
        <v>127</v>
      </c>
      <c r="M9" s="41" t="s">
        <v>132</v>
      </c>
    </row>
    <row r="10" spans="2:13" x14ac:dyDescent="0.3">
      <c r="B10" s="8">
        <f t="shared" si="0"/>
        <v>5</v>
      </c>
      <c r="C10" s="117"/>
      <c r="D10" s="36" t="s">
        <v>35</v>
      </c>
      <c r="E10" s="8" t="s">
        <v>119</v>
      </c>
      <c r="F10" s="38">
        <v>19</v>
      </c>
      <c r="G10" s="9" t="s">
        <v>99</v>
      </c>
      <c r="H10" s="119">
        <v>-0.01</v>
      </c>
      <c r="I10" s="9" t="s">
        <v>83</v>
      </c>
      <c r="J10" s="114" t="s">
        <v>84</v>
      </c>
      <c r="K10" s="114"/>
      <c r="L10" s="7" t="s">
        <v>127</v>
      </c>
      <c r="M10" s="41" t="s">
        <v>132</v>
      </c>
    </row>
    <row r="11" spans="2:13" x14ac:dyDescent="0.3">
      <c r="B11" s="8">
        <f>B10+1</f>
        <v>6</v>
      </c>
      <c r="C11" s="117"/>
      <c r="D11" s="36" t="s">
        <v>35</v>
      </c>
      <c r="E11" s="8" t="s">
        <v>120</v>
      </c>
      <c r="F11" s="38">
        <v>20</v>
      </c>
      <c r="G11" s="9" t="s">
        <v>124</v>
      </c>
      <c r="H11" s="45">
        <v>0</v>
      </c>
      <c r="I11" s="9" t="s">
        <v>102</v>
      </c>
      <c r="J11" s="114" t="s">
        <v>82</v>
      </c>
      <c r="K11" s="114"/>
      <c r="L11" s="7" t="s">
        <v>127</v>
      </c>
      <c r="M11" s="41" t="s">
        <v>132</v>
      </c>
    </row>
    <row r="12" spans="2:13" x14ac:dyDescent="0.3">
      <c r="B12" s="8">
        <v>7</v>
      </c>
      <c r="C12" s="117"/>
      <c r="D12" s="36" t="s">
        <v>35</v>
      </c>
      <c r="E12" s="8" t="s">
        <v>55</v>
      </c>
      <c r="F12" s="38">
        <v>21</v>
      </c>
      <c r="G12" s="9" t="s">
        <v>79</v>
      </c>
      <c r="H12" s="119">
        <v>0.01</v>
      </c>
      <c r="I12" s="9" t="s">
        <v>80</v>
      </c>
      <c r="J12" s="80" t="s">
        <v>81</v>
      </c>
      <c r="K12" s="82"/>
      <c r="L12" s="7" t="s">
        <v>34</v>
      </c>
      <c r="M12" s="41" t="s">
        <v>132</v>
      </c>
    </row>
    <row r="13" spans="2:13" x14ac:dyDescent="0.3">
      <c r="B13" s="8">
        <v>8</v>
      </c>
      <c r="C13" s="117"/>
      <c r="D13" s="36" t="s">
        <v>35</v>
      </c>
      <c r="E13" s="8" t="s">
        <v>57</v>
      </c>
      <c r="F13" s="38">
        <v>23</v>
      </c>
      <c r="G13" s="9" t="s">
        <v>89</v>
      </c>
      <c r="H13" s="45">
        <v>10</v>
      </c>
      <c r="I13" s="9" t="s">
        <v>80</v>
      </c>
      <c r="J13" s="114" t="s">
        <v>82</v>
      </c>
      <c r="K13" s="114"/>
      <c r="L13" s="7" t="s">
        <v>128</v>
      </c>
      <c r="M13" s="41" t="s">
        <v>132</v>
      </c>
    </row>
    <row r="14" spans="2:13" x14ac:dyDescent="0.3">
      <c r="B14" s="8">
        <f t="shared" si="0"/>
        <v>9</v>
      </c>
      <c r="C14" s="117"/>
      <c r="D14" s="36" t="s">
        <v>35</v>
      </c>
      <c r="E14" s="8" t="s">
        <v>121</v>
      </c>
      <c r="F14" s="41">
        <v>24</v>
      </c>
      <c r="G14" s="43" t="s">
        <v>36</v>
      </c>
      <c r="H14" s="46">
        <v>12</v>
      </c>
      <c r="I14" s="43" t="s">
        <v>105</v>
      </c>
      <c r="J14" s="115" t="s">
        <v>82</v>
      </c>
      <c r="K14" s="115"/>
      <c r="L14" s="43" t="s">
        <v>130</v>
      </c>
      <c r="M14" s="41" t="s">
        <v>132</v>
      </c>
    </row>
    <row r="15" spans="2:13" ht="15" thickBot="1" x14ac:dyDescent="0.35">
      <c r="B15" s="13">
        <v>10</v>
      </c>
      <c r="C15" s="118"/>
      <c r="D15" s="14" t="s">
        <v>35</v>
      </c>
      <c r="E15" s="13" t="s">
        <v>121</v>
      </c>
      <c r="F15" s="42">
        <v>25</v>
      </c>
      <c r="G15" s="44" t="s">
        <v>87</v>
      </c>
      <c r="H15" s="47">
        <v>15</v>
      </c>
      <c r="I15" s="44" t="s">
        <v>80</v>
      </c>
      <c r="J15" s="84" t="s">
        <v>82</v>
      </c>
      <c r="K15" s="85"/>
      <c r="L15" s="44" t="s">
        <v>34</v>
      </c>
      <c r="M15" s="42" t="s">
        <v>132</v>
      </c>
    </row>
    <row r="16" spans="2:13" ht="15" thickTop="1" x14ac:dyDescent="0.3">
      <c r="B16" s="15"/>
      <c r="C16" s="15"/>
      <c r="D16" s="16"/>
      <c r="E16" s="15"/>
      <c r="F16" s="15"/>
      <c r="G16" s="15"/>
      <c r="H16" s="15"/>
      <c r="I16" s="15"/>
      <c r="J16" s="15"/>
      <c r="K16" s="15"/>
      <c r="L16" s="15"/>
      <c r="M16" s="15"/>
    </row>
    <row r="17" spans="2:15" ht="14.4" customHeight="1" x14ac:dyDescent="0.3">
      <c r="B17" s="15" t="s">
        <v>58</v>
      </c>
      <c r="C17" s="15"/>
      <c r="D17" s="16"/>
      <c r="E17" s="15"/>
      <c r="F17" s="5"/>
      <c r="G17" s="5"/>
      <c r="H17" s="5"/>
      <c r="I17" s="5"/>
      <c r="J17" s="89"/>
      <c r="K17" s="89"/>
      <c r="L17" s="5"/>
    </row>
    <row r="18" spans="2:15" ht="15" thickBot="1" x14ac:dyDescent="0.35">
      <c r="L18" s="5"/>
    </row>
    <row r="19" spans="2:15" ht="15" thickTop="1" x14ac:dyDescent="0.3">
      <c r="C19" s="96" t="s">
        <v>59</v>
      </c>
      <c r="D19" s="97"/>
      <c r="E19" s="97"/>
      <c r="F19" s="98"/>
      <c r="G19" s="20" t="s">
        <v>60</v>
      </c>
      <c r="H19" s="96" t="s">
        <v>61</v>
      </c>
      <c r="I19" s="99"/>
      <c r="J19" s="97"/>
      <c r="K19" s="98"/>
      <c r="L19" s="96" t="s">
        <v>62</v>
      </c>
      <c r="M19" s="99"/>
      <c r="N19" s="97"/>
      <c r="O19" s="98"/>
    </row>
    <row r="20" spans="2:15" ht="14.4" customHeight="1" x14ac:dyDescent="0.3">
      <c r="B20" s="92" t="s">
        <v>48</v>
      </c>
      <c r="C20" s="93" t="s">
        <v>63</v>
      </c>
      <c r="D20" s="94" t="s">
        <v>64</v>
      </c>
      <c r="E20" s="94" t="s">
        <v>65</v>
      </c>
      <c r="F20" s="95" t="s">
        <v>66</v>
      </c>
      <c r="G20" s="104" t="s">
        <v>67</v>
      </c>
      <c r="H20" s="100" t="s">
        <v>68</v>
      </c>
      <c r="I20" s="101"/>
      <c r="J20" s="94" t="s">
        <v>64</v>
      </c>
      <c r="K20" s="95" t="s">
        <v>65</v>
      </c>
      <c r="L20" s="83" t="s">
        <v>68</v>
      </c>
      <c r="M20" s="94" t="s">
        <v>63</v>
      </c>
      <c r="N20" s="94" t="s">
        <v>64</v>
      </c>
      <c r="O20" s="95" t="s">
        <v>65</v>
      </c>
    </row>
    <row r="21" spans="2:15" x14ac:dyDescent="0.3">
      <c r="B21" s="92"/>
      <c r="C21" s="93"/>
      <c r="D21" s="94"/>
      <c r="E21" s="94"/>
      <c r="F21" s="95"/>
      <c r="G21" s="104"/>
      <c r="H21" s="102"/>
      <c r="I21" s="103"/>
      <c r="J21" s="94"/>
      <c r="K21" s="95"/>
      <c r="L21" s="105"/>
      <c r="M21" s="94"/>
      <c r="N21" s="94"/>
      <c r="O21" s="95"/>
    </row>
    <row r="22" spans="2:15" x14ac:dyDescent="0.3">
      <c r="B22" s="23" t="s">
        <v>52</v>
      </c>
      <c r="C22" s="19">
        <v>10</v>
      </c>
      <c r="D22" s="21">
        <v>10</v>
      </c>
      <c r="E22" s="21">
        <v>0</v>
      </c>
      <c r="F22" s="22">
        <v>0</v>
      </c>
      <c r="G22" s="25">
        <v>0</v>
      </c>
      <c r="H22" s="90" t="s">
        <v>131</v>
      </c>
      <c r="I22" s="91"/>
      <c r="J22" s="21">
        <v>0</v>
      </c>
      <c r="K22" s="22">
        <v>0</v>
      </c>
      <c r="L22" s="24" t="s">
        <v>131</v>
      </c>
      <c r="M22" s="2">
        <v>0</v>
      </c>
      <c r="N22" s="21">
        <v>0</v>
      </c>
      <c r="O22" s="22">
        <v>0</v>
      </c>
    </row>
    <row r="23" spans="2:15" x14ac:dyDescent="0.3">
      <c r="L23" s="3"/>
    </row>
  </sheetData>
  <mergeCells count="38">
    <mergeCell ref="N20:N21"/>
    <mergeCell ref="O20:O21"/>
    <mergeCell ref="L19:O19"/>
    <mergeCell ref="L20:L21"/>
    <mergeCell ref="M20:M21"/>
    <mergeCell ref="J17:K17"/>
    <mergeCell ref="H22:I22"/>
    <mergeCell ref="B20:B21"/>
    <mergeCell ref="C20:C21"/>
    <mergeCell ref="D20:D21"/>
    <mergeCell ref="E20:E21"/>
    <mergeCell ref="F20:F21"/>
    <mergeCell ref="C19:F19"/>
    <mergeCell ref="H19:K19"/>
    <mergeCell ref="H20:I21"/>
    <mergeCell ref="G20:G21"/>
    <mergeCell ref="J20:J21"/>
    <mergeCell ref="K20:K21"/>
    <mergeCell ref="B1:E1"/>
    <mergeCell ref="L4:M4"/>
    <mergeCell ref="F4:K4"/>
    <mergeCell ref="E4:E5"/>
    <mergeCell ref="C4:C5"/>
    <mergeCell ref="B3:M3"/>
    <mergeCell ref="J7:K7"/>
    <mergeCell ref="J5:K5"/>
    <mergeCell ref="D4:D5"/>
    <mergeCell ref="B4:B5"/>
    <mergeCell ref="J6:K6"/>
    <mergeCell ref="J8:K8"/>
    <mergeCell ref="J14:K14"/>
    <mergeCell ref="J13:K13"/>
    <mergeCell ref="J11:K11"/>
    <mergeCell ref="J10:K10"/>
    <mergeCell ref="J9:K9"/>
    <mergeCell ref="C6:C15"/>
    <mergeCell ref="J15:K15"/>
    <mergeCell ref="J12:K12"/>
  </mergeCells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3" ma:contentTypeDescription="Create a new document." ma:contentTypeScope="" ma:versionID="798a38e6de461387c626d04793181ea9">
  <xsd:schema xmlns:xsd="http://www.w3.org/2001/XMLSchema" xmlns:xs="http://www.w3.org/2001/XMLSchema" xmlns:p="http://schemas.microsoft.com/office/2006/metadata/properties" xmlns:ns2="301f98df-4edd-4096-94f8-2f8af3eee570" targetNamespace="http://schemas.microsoft.com/office/2006/metadata/properties" ma:root="true" ma:fieldsID="b4b8dab68acb31e3ac71f6347d499c29" ns2:_="">
    <xsd:import namespace="301f98df-4edd-4096-94f8-2f8af3eee5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3B9CA12-8961-4BEB-8D70-94D8CF82FF0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3E854E7-906F-4C7C-AFC0-1BC802AE88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7FE877D-432C-44A9-9889-489A1D266CB2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F01.ECP</vt:lpstr>
      <vt:lpstr>F01.BVA</vt:lpstr>
      <vt:lpstr>BBT-TCs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2026-03-31T16:22:59Z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