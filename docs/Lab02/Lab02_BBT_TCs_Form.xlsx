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9072" activeTab="3"/>
  </bookViews>
  <sheets>
    <sheet name="Statement" sheetId="1" r:id="rId1"/>
    <sheet name="F01.ECP" sheetId="2" r:id="rId2"/>
    <sheet name="F01.BVA" sheetId="3" r:id="rId3"/>
    <sheet name="BBT-TC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5" i="4" s="1"/>
</calcChain>
</file>

<file path=xl/comments1.xml><?xml version="1.0" encoding="utf-8"?>
<comments xmlns="http://schemas.openxmlformats.org/spreadsheetml/2006/main">
  <authors>
    <author>Author</author>
  </authors>
  <commentList>
    <comment ref="H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L2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<sst xmlns="http://schemas.openxmlformats.org/spreadsheetml/2006/main" count="288" uniqueCount="141">
  <si>
    <t>VVSS, Info Romana, 2025-2026</t>
  </si>
  <si>
    <t>Lab02. Black-box Testing. ECP, BVA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</si>
  <si>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</si>
  <si>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</si>
  <si>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</si>
  <si>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</si>
  <si>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</si>
  <si>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</si>
  <si>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</si>
  <si>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</si>
  <si>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</si>
  <si>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Observații</t>
  </si>
  <si>
    <t xml:space="preserve">1. La proiectarea TCs se consideră o metodă care poate avea următoarea semnătură: 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</si>
  <si>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</si>
  <si>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</si>
  <si>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</si>
  <si>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</si>
  <si>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</si>
  <si>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</si>
  <si>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</si>
  <si>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</si>
  <si>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</si>
  <si>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</si>
  <si>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</si>
  <si>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</si>
  <si>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</si>
  <si>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</si>
  <si>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</si>
  <si>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record added</t>
  </si>
  <si>
    <t>-</t>
  </si>
  <si>
    <t>""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</si>
  <si>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</si>
  <si>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</si>
  <si>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</si>
  <si>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</si>
  <si>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</si>
  <si>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</si>
  <si>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</si>
  <si>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</si>
  <si>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</si>
  <si>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</si>
  <si>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</si>
  <si>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</si>
  <si>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</si>
  <si>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</si>
  <si>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</si>
  <si>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</si>
  <si>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</si>
  <si>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</si>
  <si>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</si>
  <si>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</si>
  <si>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</si>
  <si>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</si>
  <si>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</si>
  <si>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</si>
  <si>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</si>
  <si>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</si>
  <si>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</si>
  <si>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</si>
  <si>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</si>
  <si>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</si>
  <si>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</si>
  <si>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</si>
  <si>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Kovacs Maria-Melania</t>
  </si>
  <si>
    <t>FI</t>
  </si>
  <si>
    <t>Stoica Casandra</t>
  </si>
  <si>
    <t>Ciceo Tania-Flavia</t>
  </si>
  <si>
    <t>pret &gt; 0</t>
  </si>
  <si>
    <t>nume == ""</t>
  </si>
  <si>
    <t>id</t>
  </si>
  <si>
    <t>pret</t>
  </si>
  <si>
    <t>nume</t>
  </si>
  <si>
    <t>tip</t>
  </si>
  <si>
    <t>"Limonada"</t>
  </si>
  <si>
    <t>JUICE</t>
  </si>
  <si>
    <t>WATER_BASED</t>
  </si>
  <si>
    <t>BASIC</t>
  </si>
  <si>
    <t>MILK_COFFEE</t>
  </si>
  <si>
    <t>DAIRY</t>
  </si>
  <si>
    <t>yes</t>
  </si>
  <si>
    <t>TC2_ECP</t>
  </si>
  <si>
    <t>"A"</t>
  </si>
  <si>
    <t>TC4_ECP</t>
  </si>
  <si>
    <t>null</t>
  </si>
  <si>
    <t>nume nu este null</t>
  </si>
  <si>
    <t>pret &lt;=0</t>
  </si>
  <si>
    <t>nume este String</t>
  </si>
  <si>
    <t>nume !=null</t>
  </si>
  <si>
    <t>orice String</t>
  </si>
  <si>
    <t>non-String (conceptual)</t>
  </si>
  <si>
    <t>preț este numeric</t>
  </si>
  <si>
    <t>double</t>
  </si>
  <si>
    <t>non-numeric (conceptual)</t>
  </si>
  <si>
    <t>"Latte"</t>
  </si>
  <si>
    <t>PLANT_BASED</t>
  </si>
  <si>
    <t>BUBBLE_TEA</t>
  </si>
  <si>
    <t>POWDER</t>
  </si>
  <si>
    <t>Error message: Name cannot be empty!</t>
  </si>
  <si>
    <t>"Matcha Latte"</t>
  </si>
  <si>
    <t>TEA</t>
  </si>
  <si>
    <t>Error message: Invalid price!</t>
  </si>
  <si>
    <t>preț &gt; 0</t>
  </si>
  <si>
    <t>nume nu este null sau gol</t>
  </si>
  <si>
    <t>03. preț - 0.0 (invalid, exact la limită)</t>
  </si>
  <si>
    <t>02. preț = -0.01 (invalid, foarte puțin sub limită)</t>
  </si>
  <si>
    <t>04. preț = 0.01 (valid, prima valoare acceptată)</t>
  </si>
  <si>
    <t>05. preț = 0.02 (valid, imediat peste prima)</t>
  </si>
  <si>
    <t>07.  nume = null (invalid, referință lipsă)</t>
  </si>
  <si>
    <t>08. nume = "" (invalid, lungime = 0)</t>
  </si>
  <si>
    <t>09. nume = "A" (valid, minim logic, lungime = 1)</t>
  </si>
  <si>
    <t>10. nume = "AB" (valid, imediat peste minim)</t>
  </si>
  <si>
    <t>preț</t>
  </si>
  <si>
    <t>TC1_BVA</t>
  </si>
  <si>
    <t>TC2_BVA</t>
  </si>
  <si>
    <t>TC6_BVA</t>
  </si>
  <si>
    <t>TC7_BVA</t>
  </si>
  <si>
    <t>TC8_BVA</t>
  </si>
  <si>
    <t>"Matcha"</t>
  </si>
  <si>
    <t>"Ceai Verde"</t>
  </si>
  <si>
    <t>"AB"</t>
  </si>
  <si>
    <t>Error message: Invalid price</t>
  </si>
  <si>
    <t>Error message: Name cannot be null</t>
  </si>
  <si>
    <t>Error message: Name cannot be empty</t>
  </si>
  <si>
    <t>Error message: Empty name</t>
  </si>
  <si>
    <t>not needed</t>
  </si>
  <si>
    <t>passed</t>
  </si>
  <si>
    <t>nume nu este gol</t>
  </si>
  <si>
    <t>nume !=""</t>
  </si>
  <si>
    <t>nume == null</t>
  </si>
  <si>
    <t>1, 5, 7, 9, 11</t>
  </si>
  <si>
    <t>1, 6, 7, 9, 11</t>
  </si>
  <si>
    <t>4, 5, 7, 9, 11</t>
  </si>
  <si>
    <t>1, 5, 7, 9, 12</t>
  </si>
  <si>
    <t>Data: 31.03.2026</t>
  </si>
  <si>
    <t xml:space="preserve">Echipa </t>
  </si>
  <si>
    <t>1. Gestiunea produselor din mydrinkshop</t>
  </si>
  <si>
    <t>Un utilizator dorește să își dezvolte un program pentru gestionarea produselor/băuturilor din drinkshop.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</si>
  <si>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 (id, nume, preț, categorie, tip);</t>
    </r>
  </si>
  <si>
    <t>addProduct(int id, String nume, double pret, CategorieBautura categorie, TipBautura tip): void</t>
  </si>
  <si>
    <t>Exemplu: Exemplu: Parametrii nume și pret; Condiții pentru acești parametri de intrare: nume este valid dacă nu este null și nu este gol; pret este valid dacă are valori strict mai mari decât 0.</t>
  </si>
  <si>
    <t>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</si>
</sst>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6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" xfId="0" applyFont="1" applyBorder="1"/>
    <xf numFmtId="0" fontId="13" fillId="0" borderId="0" xfId="0" applyFont="1"/>
    <xf numFmtId="0" fontId="0" fillId="0" borderId="7" xfId="0" applyBorder="1"/>
    <xf numFmtId="0" fontId="6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/>
    </xf>
    <xf numFmtId="0" fontId="16" fillId="0" borderId="0" xfId="0" applyFont="1"/>
    <xf numFmtId="0" fontId="0" fillId="0" borderId="0" xfId="0" applyAlignment="1">
      <alignment vertical="center"/>
    </xf>
    <xf numFmtId="0" fontId="11" fillId="0" borderId="0" xfId="0" applyFont="1"/>
    <xf numFmtId="0" fontId="17" fillId="0" borderId="0" xfId="0" applyFont="1"/>
    <xf numFmtId="0" fontId="12" fillId="0" borderId="12" xfId="0" applyFont="1" applyBorder="1"/>
    <xf numFmtId="164" fontId="0" fillId="0" borderId="1" xfId="0" applyNumberFormat="1" applyBorder="1"/>
    <xf numFmtId="0" fontId="18" fillId="0" borderId="1" xfId="0" applyFont="1" applyBorder="1" applyAlignment="1">
      <alignment horizontal="center" vertical="center"/>
    </xf>
    <xf numFmtId="164" fontId="10" fillId="0" borderId="1" xfId="0" applyNumberFormat="1" applyFont="1" applyBorder="1"/>
    <xf numFmtId="0" fontId="0" fillId="0" borderId="1" xfId="0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 vertical="center"/>
    </xf>
    <xf numFmtId="164" fontId="9" fillId="0" borderId="3" xfId="0" applyNumberFormat="1" applyFont="1" applyBorder="1" applyAlignment="1">
      <alignment horizontal="right" vertical="center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right"/>
    </xf>
    <xf numFmtId="0" fontId="7" fillId="0" borderId="13" xfId="0" applyFont="1" applyBorder="1" applyAlignment="1">
      <alignment horizontal="center" vertical="center"/>
    </xf>
    <xf numFmtId="0" fontId="19" fillId="2" borderId="11" xfId="0" applyFont="1" applyFill="1" applyBorder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6" fillId="4" borderId="10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6" fillId="5" borderId="1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2" borderId="20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26"/>
  <sheetViews>
    <sheetView workbookViewId="0">
      <selection activeCell="K26" sqref="K26"/>
    </sheetView>
  </sheetViews>
  <sheetFormatPr defaultRowHeight="14.4" x14ac:dyDescent="0.3"/>
  <cols>
    <col min="4" max="4" width="22.5546875" customWidth="1"/>
    <col min="9" max="9" width="32.88671875" customWidth="1"/>
    <col min="10" max="10" width="10.5546875" customWidth="1"/>
    <col min="12" max="12" width="12.109375" customWidth="1"/>
    <col min="14" max="14" width="20" customWidth="1"/>
  </cols>
  <sheetData>
    <row r="1" spans="2:11" x14ac:dyDescent="0.3">
      <c r="C1" s="55" t="s">
        <v>0</v>
      </c>
      <c r="D1" s="56"/>
      <c r="E1" s="56"/>
      <c r="F1" s="57"/>
      <c r="H1" s="29" t="s">
        <v>1</v>
      </c>
      <c r="I1" s="29"/>
      <c r="J1" s="59" t="s">
        <v>133</v>
      </c>
      <c r="K1" s="59"/>
    </row>
    <row r="2" spans="2:11" x14ac:dyDescent="0.3">
      <c r="H2" s="58" t="s">
        <v>134</v>
      </c>
      <c r="I2" s="58"/>
      <c r="J2" s="58"/>
    </row>
    <row r="3" spans="2:11" x14ac:dyDescent="0.3">
      <c r="H3" s="2"/>
      <c r="I3" s="2" t="s">
        <v>2</v>
      </c>
      <c r="J3" s="2" t="s">
        <v>3</v>
      </c>
    </row>
    <row r="4" spans="2:11" x14ac:dyDescent="0.3">
      <c r="H4" s="2" t="s">
        <v>4</v>
      </c>
      <c r="I4" s="2" t="s">
        <v>63</v>
      </c>
      <c r="J4" s="2" t="s">
        <v>64</v>
      </c>
    </row>
    <row r="5" spans="2:11" x14ac:dyDescent="0.3">
      <c r="H5" s="2" t="s">
        <v>5</v>
      </c>
      <c r="I5" s="2" t="s">
        <v>65</v>
      </c>
      <c r="J5" s="2" t="s">
        <v>64</v>
      </c>
    </row>
    <row r="6" spans="2:11" x14ac:dyDescent="0.3">
      <c r="B6" s="18"/>
      <c r="H6" s="2" t="s">
        <v>6</v>
      </c>
      <c r="I6" s="2" t="s">
        <v>66</v>
      </c>
      <c r="J6" s="2" t="s">
        <v>64</v>
      </c>
    </row>
    <row r="7" spans="2:11" ht="14.4" customHeight="1" x14ac:dyDescent="0.3"/>
    <row r="8" spans="2:11" x14ac:dyDescent="0.3">
      <c r="B8" s="27" t="s">
        <v>7</v>
      </c>
    </row>
    <row r="9" spans="2:11" x14ac:dyDescent="0.3">
      <c r="B9" s="1" t="s">
        <v>8</v>
      </c>
    </row>
    <row r="10" spans="2:11" x14ac:dyDescent="0.3">
      <c r="B10" s="1" t="s">
        <v>9</v>
      </c>
    </row>
    <row r="11" spans="2:11" x14ac:dyDescent="0.3">
      <c r="B11" s="1" t="s">
        <v>10</v>
      </c>
    </row>
    <row r="12" spans="2:11" x14ac:dyDescent="0.3">
      <c r="B12" s="1"/>
      <c r="C12" s="1"/>
      <c r="D12" s="1"/>
      <c r="E12" s="1"/>
    </row>
    <row r="13" spans="2:11" x14ac:dyDescent="0.3">
      <c r="B13" s="1"/>
      <c r="C13" s="1"/>
      <c r="D13" s="1"/>
      <c r="E13" s="1"/>
    </row>
    <row r="14" spans="2:11" x14ac:dyDescent="0.3">
      <c r="B14" t="s">
        <v>135</v>
      </c>
      <c r="C14" s="1"/>
      <c r="D14" s="1"/>
      <c r="E14" s="1"/>
    </row>
    <row r="15" spans="2:11" x14ac:dyDescent="0.3">
      <c r="B15" t="s">
        <v>136</v>
      </c>
      <c r="C15" s="1"/>
      <c r="D15" s="1"/>
      <c r="E15" s="1"/>
    </row>
    <row r="16" spans="2:11" x14ac:dyDescent="0.3">
      <c r="B16" t="s">
        <v>137</v>
      </c>
      <c r="C16" s="1"/>
      <c r="D16" s="1"/>
      <c r="E16" s="1"/>
    </row>
    <row r="17" spans="1:15" x14ac:dyDescent="0.3">
      <c r="B17" s="1"/>
      <c r="D17" s="1"/>
      <c r="E17" s="1"/>
    </row>
    <row r="18" spans="1:15" x14ac:dyDescent="0.3">
      <c r="B18" s="27" t="s">
        <v>11</v>
      </c>
    </row>
    <row r="19" spans="1:15" x14ac:dyDescent="0.3">
      <c r="B19" s="1" t="s">
        <v>12</v>
      </c>
    </row>
    <row r="20" spans="1:15" x14ac:dyDescent="0.3">
      <c r="C20" s="25" t="s">
        <v>138</v>
      </c>
    </row>
    <row r="21" spans="1:15" x14ac:dyDescent="0.3">
      <c r="B21" s="1" t="s">
        <v>13</v>
      </c>
    </row>
    <row r="22" spans="1:15" x14ac:dyDescent="0.3">
      <c r="B22" s="1" t="s">
        <v>14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B23" s="1" t="s">
        <v>15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 x14ac:dyDescent="0.3">
      <c r="A24" s="26"/>
      <c r="B24" s="54" t="s">
        <v>139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</row>
    <row r="26" spans="1:15" x14ac:dyDescent="0.3">
      <c r="C26" s="28"/>
    </row>
  </sheetData>
  <mergeCells count="4">
    <mergeCell ref="B24:N24"/>
    <mergeCell ref="C1:F1"/>
    <mergeCell ref="H2:J2"/>
    <mergeCell ref="J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1:Q20"/>
  <sheetViews>
    <sheetView zoomScale="85" zoomScaleNormal="85" workbookViewId="0">
      <selection activeCell="B3" sqref="B3:G3"/>
    </sheetView>
  </sheetViews>
  <sheetFormatPr defaultRowHeight="14.4" x14ac:dyDescent="0.3"/>
  <cols>
    <col min="2" max="2" width="10.109375" bestFit="1" customWidth="1"/>
    <col min="3" max="4" width="18.109375" bestFit="1" customWidth="1"/>
    <col min="5" max="5" width="24.5546875" customWidth="1"/>
    <col min="6" max="6" width="5.88671875" customWidth="1"/>
    <col min="7" max="7" width="8" customWidth="1"/>
    <col min="8" max="8" width="15.33203125" customWidth="1"/>
    <col min="9" max="9" width="4.5546875" customWidth="1"/>
    <col min="10" max="10" width="14.21875" customWidth="1"/>
    <col min="11" max="11" width="17.33203125" customWidth="1"/>
    <col min="12" max="12" width="16.5546875" customWidth="1"/>
    <col min="13" max="13" width="3.33203125" customWidth="1"/>
    <col min="14" max="14" width="5.44140625" customWidth="1"/>
    <col min="15" max="15" width="8.21875" customWidth="1"/>
    <col min="16" max="16" width="29.44140625" customWidth="1"/>
    <col min="17" max="17" width="10.88671875" customWidth="1"/>
  </cols>
  <sheetData>
    <row r="1" spans="2:17" x14ac:dyDescent="0.3">
      <c r="B1" s="55" t="s">
        <v>0</v>
      </c>
      <c r="C1" s="56"/>
      <c r="D1" s="56"/>
      <c r="E1" s="57"/>
    </row>
    <row r="3" spans="2:17" x14ac:dyDescent="0.3">
      <c r="B3" s="63" t="s">
        <v>137</v>
      </c>
      <c r="C3" s="64"/>
      <c r="D3" s="64"/>
      <c r="E3" s="64"/>
      <c r="F3" s="64"/>
      <c r="G3" s="65"/>
    </row>
    <row r="5" spans="2:17" x14ac:dyDescent="0.3">
      <c r="B5" s="66" t="s">
        <v>16</v>
      </c>
      <c r="C5" s="66"/>
      <c r="D5" s="66"/>
      <c r="E5" s="66"/>
      <c r="G5" s="67" t="s">
        <v>17</v>
      </c>
      <c r="H5" s="68"/>
      <c r="I5" s="68"/>
      <c r="J5" s="68"/>
      <c r="K5" s="68"/>
      <c r="L5" s="68"/>
      <c r="M5" s="68"/>
      <c r="N5" s="68"/>
      <c r="O5" s="68"/>
      <c r="P5" s="68"/>
      <c r="Q5" s="69"/>
    </row>
    <row r="6" spans="2:17" ht="14.4" customHeight="1" x14ac:dyDescent="0.3">
      <c r="B6" s="12" t="s">
        <v>18</v>
      </c>
      <c r="C6" s="12" t="s">
        <v>19</v>
      </c>
      <c r="D6" s="12" t="s">
        <v>20</v>
      </c>
      <c r="E6" s="12" t="s">
        <v>21</v>
      </c>
      <c r="G6" s="70" t="s">
        <v>22</v>
      </c>
      <c r="H6" s="72" t="s">
        <v>23</v>
      </c>
      <c r="I6" s="74" t="s">
        <v>24</v>
      </c>
      <c r="J6" s="76"/>
      <c r="K6" s="76"/>
      <c r="L6" s="76"/>
      <c r="M6" s="76"/>
      <c r="N6" s="76"/>
      <c r="O6" s="75"/>
      <c r="P6" s="74" t="s">
        <v>25</v>
      </c>
      <c r="Q6" s="75"/>
    </row>
    <row r="7" spans="2:17" x14ac:dyDescent="0.3">
      <c r="B7" s="4">
        <v>1</v>
      </c>
      <c r="C7" s="61" t="s">
        <v>84</v>
      </c>
      <c r="D7" s="4" t="s">
        <v>87</v>
      </c>
      <c r="E7" s="4"/>
      <c r="G7" s="71"/>
      <c r="H7" s="73"/>
      <c r="I7" s="12" t="s">
        <v>69</v>
      </c>
      <c r="J7" s="12" t="s">
        <v>70</v>
      </c>
      <c r="K7" s="12" t="s">
        <v>71</v>
      </c>
      <c r="L7" s="12" t="s">
        <v>26</v>
      </c>
      <c r="M7" s="74" t="s">
        <v>72</v>
      </c>
      <c r="N7" s="76"/>
      <c r="O7" s="75"/>
      <c r="P7" s="74" t="s">
        <v>27</v>
      </c>
      <c r="Q7" s="75"/>
    </row>
    <row r="8" spans="2:17" x14ac:dyDescent="0.3">
      <c r="B8" s="4">
        <v>4</v>
      </c>
      <c r="C8" s="62"/>
      <c r="D8" s="4"/>
      <c r="E8" s="4" t="s">
        <v>128</v>
      </c>
      <c r="G8" s="31">
        <v>1</v>
      </c>
      <c r="H8" s="17" t="s">
        <v>129</v>
      </c>
      <c r="I8" s="17">
        <v>15</v>
      </c>
      <c r="J8" s="32">
        <v>10</v>
      </c>
      <c r="K8" s="17" t="s">
        <v>73</v>
      </c>
      <c r="L8" s="17" t="s">
        <v>74</v>
      </c>
      <c r="M8" s="77" t="s">
        <v>75</v>
      </c>
      <c r="N8" s="82"/>
      <c r="O8" s="78"/>
      <c r="P8" s="77" t="s">
        <v>28</v>
      </c>
      <c r="Q8" s="78"/>
    </row>
    <row r="9" spans="2:17" ht="15" customHeight="1" x14ac:dyDescent="0.3">
      <c r="B9" s="4">
        <v>5</v>
      </c>
      <c r="C9" s="60" t="s">
        <v>126</v>
      </c>
      <c r="D9" s="4" t="s">
        <v>127</v>
      </c>
      <c r="E9" s="4"/>
      <c r="G9" s="31">
        <v>2</v>
      </c>
      <c r="H9" s="17" t="s">
        <v>130</v>
      </c>
      <c r="I9" s="17">
        <v>16</v>
      </c>
      <c r="J9" s="32">
        <v>15</v>
      </c>
      <c r="K9" s="17" t="s">
        <v>30</v>
      </c>
      <c r="L9" s="17" t="s">
        <v>77</v>
      </c>
      <c r="M9" s="77" t="s">
        <v>94</v>
      </c>
      <c r="N9" s="82"/>
      <c r="O9" s="78"/>
      <c r="P9" s="77" t="s">
        <v>97</v>
      </c>
      <c r="Q9" s="78"/>
    </row>
    <row r="10" spans="2:17" x14ac:dyDescent="0.3">
      <c r="B10" s="4">
        <v>6</v>
      </c>
      <c r="C10" s="60"/>
      <c r="D10" s="4"/>
      <c r="E10" s="4" t="s">
        <v>68</v>
      </c>
      <c r="G10" s="31">
        <v>3</v>
      </c>
      <c r="H10" s="17" t="s">
        <v>131</v>
      </c>
      <c r="I10" s="17">
        <v>17</v>
      </c>
      <c r="J10" s="32">
        <v>18.5</v>
      </c>
      <c r="K10" s="17" t="s">
        <v>83</v>
      </c>
      <c r="L10" s="17" t="s">
        <v>95</v>
      </c>
      <c r="M10" s="77" t="s">
        <v>96</v>
      </c>
      <c r="N10" s="82"/>
      <c r="O10" s="78"/>
      <c r="P10" s="77" t="s">
        <v>97</v>
      </c>
      <c r="Q10" s="78"/>
    </row>
    <row r="11" spans="2:17" x14ac:dyDescent="0.3">
      <c r="B11" s="4">
        <v>7</v>
      </c>
      <c r="C11" s="61" t="s">
        <v>86</v>
      </c>
      <c r="D11" s="4" t="s">
        <v>88</v>
      </c>
      <c r="E11" s="4"/>
      <c r="G11" s="31">
        <v>4</v>
      </c>
      <c r="H11" s="17" t="s">
        <v>132</v>
      </c>
      <c r="I11" s="17">
        <v>18</v>
      </c>
      <c r="J11" s="32">
        <v>-5</v>
      </c>
      <c r="K11" s="17" t="s">
        <v>98</v>
      </c>
      <c r="L11" s="17" t="s">
        <v>99</v>
      </c>
      <c r="M11" s="77" t="s">
        <v>96</v>
      </c>
      <c r="N11" s="82"/>
      <c r="O11" s="78"/>
      <c r="P11" s="77" t="s">
        <v>100</v>
      </c>
      <c r="Q11" s="78"/>
    </row>
    <row r="12" spans="2:17" x14ac:dyDescent="0.3">
      <c r="B12" s="4">
        <v>8</v>
      </c>
      <c r="C12" s="62"/>
      <c r="D12" s="4"/>
      <c r="E12" s="4" t="s">
        <v>89</v>
      </c>
    </row>
    <row r="13" spans="2:17" x14ac:dyDescent="0.3">
      <c r="B13" s="4">
        <v>9</v>
      </c>
      <c r="C13" s="60" t="s">
        <v>90</v>
      </c>
      <c r="D13" s="4" t="s">
        <v>91</v>
      </c>
      <c r="E13" s="4"/>
    </row>
    <row r="14" spans="2:17" x14ac:dyDescent="0.3">
      <c r="B14" s="4">
        <v>10</v>
      </c>
      <c r="C14" s="60"/>
      <c r="D14" s="4"/>
      <c r="E14" s="4" t="s">
        <v>92</v>
      </c>
    </row>
    <row r="15" spans="2:17" x14ac:dyDescent="0.3">
      <c r="B15" s="33">
        <v>11</v>
      </c>
      <c r="C15" s="79" t="s">
        <v>67</v>
      </c>
      <c r="D15" s="33" t="s">
        <v>67</v>
      </c>
      <c r="E15" s="33"/>
    </row>
    <row r="16" spans="2:17" x14ac:dyDescent="0.3">
      <c r="B16" s="33">
        <v>12</v>
      </c>
      <c r="C16" s="80"/>
      <c r="D16" s="33" t="s">
        <v>31</v>
      </c>
      <c r="E16" s="33" t="s">
        <v>85</v>
      </c>
    </row>
    <row r="20" spans="6:7" x14ac:dyDescent="0.3">
      <c r="F20" s="81"/>
      <c r="G20" s="81"/>
    </row>
  </sheetData>
  <mergeCells count="24">
    <mergeCell ref="C15:C16"/>
    <mergeCell ref="F20:G20"/>
    <mergeCell ref="P11:Q11"/>
    <mergeCell ref="P10:Q10"/>
    <mergeCell ref="M7:O7"/>
    <mergeCell ref="M8:O8"/>
    <mergeCell ref="M9:O9"/>
    <mergeCell ref="C13:C14"/>
    <mergeCell ref="M10:O10"/>
    <mergeCell ref="M11:O11"/>
    <mergeCell ref="P9:Q9"/>
    <mergeCell ref="B1:E1"/>
    <mergeCell ref="C9:C10"/>
    <mergeCell ref="C11:C12"/>
    <mergeCell ref="B3:G3"/>
    <mergeCell ref="B5:E5"/>
    <mergeCell ref="G5:Q5"/>
    <mergeCell ref="G6:G7"/>
    <mergeCell ref="H6:H7"/>
    <mergeCell ref="P6:Q6"/>
    <mergeCell ref="I6:O6"/>
    <mergeCell ref="P7:Q7"/>
    <mergeCell ref="C7:C8"/>
    <mergeCell ref="P8:Q8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1:Q15"/>
  <sheetViews>
    <sheetView zoomScale="90" zoomScaleNormal="90" workbookViewId="0">
      <selection activeCell="B3" sqref="B3:G3"/>
    </sheetView>
  </sheetViews>
  <sheetFormatPr defaultRowHeight="14.4" x14ac:dyDescent="0.3"/>
  <cols>
    <col min="2" max="2" width="11.33203125" bestFit="1" customWidth="1"/>
    <col min="3" max="3" width="30.77734375" customWidth="1"/>
    <col min="4" max="4" width="57.5546875" customWidth="1"/>
    <col min="5" max="5" width="7" customWidth="1"/>
    <col min="6" max="6" width="5.5546875" customWidth="1"/>
    <col min="7" max="7" width="9.44140625" customWidth="1"/>
    <col min="8" max="8" width="10.21875" customWidth="1"/>
    <col min="9" max="9" width="10" customWidth="1"/>
    <col min="10" max="10" width="10.109375" bestFit="1" customWidth="1"/>
    <col min="11" max="11" width="9.5546875" customWidth="1"/>
    <col min="12" max="12" width="18.33203125" bestFit="1" customWidth="1"/>
    <col min="13" max="14" width="23.88671875" customWidth="1"/>
    <col min="15" max="15" width="26.88671875" customWidth="1"/>
    <col min="16" max="16" width="37.109375" customWidth="1"/>
    <col min="17" max="17" width="22" customWidth="1"/>
  </cols>
  <sheetData>
    <row r="1" spans="2:17" x14ac:dyDescent="0.3">
      <c r="B1" s="55" t="s">
        <v>0</v>
      </c>
      <c r="C1" s="56"/>
      <c r="D1" s="56"/>
      <c r="E1" s="57"/>
    </row>
    <row r="3" spans="2:17" x14ac:dyDescent="0.3">
      <c r="B3" s="63" t="s">
        <v>137</v>
      </c>
      <c r="C3" s="64"/>
      <c r="D3" s="64"/>
      <c r="E3" s="64"/>
      <c r="F3" s="64"/>
      <c r="G3" s="65"/>
    </row>
    <row r="5" spans="2:17" x14ac:dyDescent="0.3">
      <c r="B5" s="86" t="s">
        <v>32</v>
      </c>
      <c r="C5" s="86"/>
      <c r="D5" s="86"/>
      <c r="E5" s="3"/>
      <c r="G5" s="67" t="s">
        <v>33</v>
      </c>
      <c r="H5" s="68"/>
      <c r="I5" s="68"/>
      <c r="J5" s="68"/>
      <c r="K5" s="68"/>
      <c r="L5" s="68"/>
      <c r="M5" s="68"/>
      <c r="N5" s="68"/>
      <c r="O5" s="68"/>
      <c r="P5" s="68"/>
      <c r="Q5" s="69"/>
    </row>
    <row r="6" spans="2:17" ht="14.4" customHeight="1" x14ac:dyDescent="0.3">
      <c r="B6" s="4" t="s">
        <v>34</v>
      </c>
      <c r="C6" s="4" t="s">
        <v>19</v>
      </c>
      <c r="D6" s="4" t="s">
        <v>32</v>
      </c>
      <c r="E6" s="6"/>
      <c r="G6" s="70" t="s">
        <v>35</v>
      </c>
      <c r="H6" s="70" t="s">
        <v>36</v>
      </c>
      <c r="I6" s="70" t="s">
        <v>37</v>
      </c>
      <c r="J6" s="72" t="s">
        <v>38</v>
      </c>
      <c r="K6" s="87" t="s">
        <v>24</v>
      </c>
      <c r="L6" s="91"/>
      <c r="M6" s="91"/>
      <c r="N6" s="91"/>
      <c r="O6" s="88"/>
      <c r="P6" s="87" t="s">
        <v>25</v>
      </c>
      <c r="Q6" s="88"/>
    </row>
    <row r="7" spans="2:17" x14ac:dyDescent="0.3">
      <c r="B7" s="61">
        <v>1</v>
      </c>
      <c r="C7" s="84" t="s">
        <v>101</v>
      </c>
      <c r="D7" s="36" t="s">
        <v>104</v>
      </c>
      <c r="G7" s="71"/>
      <c r="H7" s="71"/>
      <c r="I7" s="71"/>
      <c r="J7" s="73"/>
      <c r="K7" s="37" t="s">
        <v>69</v>
      </c>
      <c r="L7" s="38" t="s">
        <v>71</v>
      </c>
      <c r="M7" s="37" t="s">
        <v>111</v>
      </c>
      <c r="N7" s="37" t="s">
        <v>26</v>
      </c>
      <c r="O7" s="37" t="s">
        <v>72</v>
      </c>
      <c r="P7" s="89" t="s">
        <v>39</v>
      </c>
      <c r="Q7" s="90"/>
    </row>
    <row r="8" spans="2:17" x14ac:dyDescent="0.3">
      <c r="B8" s="83"/>
      <c r="C8" s="85"/>
      <c r="D8" s="36" t="s">
        <v>103</v>
      </c>
      <c r="G8" s="35">
        <v>1</v>
      </c>
      <c r="H8" s="11" t="s">
        <v>112</v>
      </c>
      <c r="I8" s="10" t="s">
        <v>82</v>
      </c>
      <c r="J8" s="10" t="s">
        <v>79</v>
      </c>
      <c r="K8" s="10">
        <v>19</v>
      </c>
      <c r="L8" s="17" t="s">
        <v>93</v>
      </c>
      <c r="M8" s="17">
        <v>-0.01</v>
      </c>
      <c r="N8" s="17" t="s">
        <v>77</v>
      </c>
      <c r="O8" s="17" t="s">
        <v>78</v>
      </c>
      <c r="P8" s="77" t="s">
        <v>120</v>
      </c>
      <c r="Q8" s="78"/>
    </row>
    <row r="9" spans="2:17" x14ac:dyDescent="0.3">
      <c r="B9" s="83"/>
      <c r="C9" s="85"/>
      <c r="D9" s="36" t="s">
        <v>105</v>
      </c>
      <c r="G9" s="35">
        <v>2</v>
      </c>
      <c r="H9" s="11" t="s">
        <v>113</v>
      </c>
      <c r="I9" s="10" t="s">
        <v>82</v>
      </c>
      <c r="J9" s="10" t="s">
        <v>79</v>
      </c>
      <c r="K9" s="10">
        <v>20</v>
      </c>
      <c r="L9" s="17" t="s">
        <v>117</v>
      </c>
      <c r="M9" s="32">
        <v>0</v>
      </c>
      <c r="N9" s="17" t="s">
        <v>99</v>
      </c>
      <c r="O9" s="17" t="s">
        <v>96</v>
      </c>
      <c r="P9" s="77" t="s">
        <v>120</v>
      </c>
      <c r="Q9" s="78"/>
    </row>
    <row r="10" spans="2:17" x14ac:dyDescent="0.3">
      <c r="B10" s="83"/>
      <c r="C10" s="85"/>
      <c r="D10" s="36" t="s">
        <v>106</v>
      </c>
      <c r="G10" s="35">
        <v>3</v>
      </c>
      <c r="H10" s="11" t="s">
        <v>49</v>
      </c>
      <c r="I10" s="10" t="s">
        <v>47</v>
      </c>
      <c r="J10" s="10" t="s">
        <v>79</v>
      </c>
      <c r="K10" s="10">
        <v>21</v>
      </c>
      <c r="L10" s="17" t="s">
        <v>73</v>
      </c>
      <c r="M10" s="17">
        <v>0.01</v>
      </c>
      <c r="N10" s="17" t="s">
        <v>74</v>
      </c>
      <c r="O10" s="17" t="s">
        <v>75</v>
      </c>
      <c r="P10" s="77" t="s">
        <v>28</v>
      </c>
      <c r="Q10" s="78"/>
    </row>
    <row r="11" spans="2:17" x14ac:dyDescent="0.3">
      <c r="B11" s="61">
        <v>2</v>
      </c>
      <c r="C11" s="60" t="s">
        <v>102</v>
      </c>
      <c r="D11" s="2" t="s">
        <v>107</v>
      </c>
      <c r="G11" s="35">
        <v>4</v>
      </c>
      <c r="H11" s="11" t="s">
        <v>50</v>
      </c>
      <c r="I11" s="10" t="s">
        <v>47</v>
      </c>
      <c r="J11" s="10" t="s">
        <v>79</v>
      </c>
      <c r="K11" s="10">
        <v>22</v>
      </c>
      <c r="L11" s="17" t="s">
        <v>118</v>
      </c>
      <c r="M11" s="17">
        <v>0.02</v>
      </c>
      <c r="N11" s="17" t="s">
        <v>99</v>
      </c>
      <c r="O11" s="17" t="s">
        <v>75</v>
      </c>
      <c r="P11" s="77" t="s">
        <v>28</v>
      </c>
      <c r="Q11" s="78"/>
    </row>
    <row r="12" spans="2:17" x14ac:dyDescent="0.3">
      <c r="B12" s="83"/>
      <c r="C12" s="60"/>
      <c r="D12" s="2" t="s">
        <v>108</v>
      </c>
      <c r="G12" s="39">
        <v>5</v>
      </c>
      <c r="H12" s="11" t="s">
        <v>51</v>
      </c>
      <c r="I12" s="33" t="s">
        <v>80</v>
      </c>
      <c r="J12" s="10" t="s">
        <v>79</v>
      </c>
      <c r="K12" s="33">
        <v>23</v>
      </c>
      <c r="L12" s="2" t="s">
        <v>83</v>
      </c>
      <c r="M12" s="30">
        <v>10</v>
      </c>
      <c r="N12" s="2" t="s">
        <v>74</v>
      </c>
      <c r="O12" s="2" t="s">
        <v>76</v>
      </c>
      <c r="P12" s="92" t="s">
        <v>121</v>
      </c>
      <c r="Q12" s="93"/>
    </row>
    <row r="13" spans="2:17" x14ac:dyDescent="0.3">
      <c r="B13" s="83"/>
      <c r="C13" s="60"/>
      <c r="D13" s="2" t="s">
        <v>109</v>
      </c>
      <c r="G13" s="39">
        <v>6</v>
      </c>
      <c r="H13" s="11" t="s">
        <v>114</v>
      </c>
      <c r="I13" s="33" t="s">
        <v>48</v>
      </c>
      <c r="J13" s="10" t="s">
        <v>79</v>
      </c>
      <c r="K13" s="33">
        <v>24</v>
      </c>
      <c r="L13" s="2" t="s">
        <v>30</v>
      </c>
      <c r="M13" s="30">
        <v>12</v>
      </c>
      <c r="N13" s="2" t="s">
        <v>99</v>
      </c>
      <c r="O13" s="2" t="s">
        <v>76</v>
      </c>
      <c r="P13" s="92" t="s">
        <v>122</v>
      </c>
      <c r="Q13" s="93"/>
    </row>
    <row r="14" spans="2:17" x14ac:dyDescent="0.3">
      <c r="B14" s="62"/>
      <c r="C14" s="60"/>
      <c r="D14" s="2" t="s">
        <v>110</v>
      </c>
      <c r="G14" s="39">
        <v>7</v>
      </c>
      <c r="H14" s="11" t="s">
        <v>115</v>
      </c>
      <c r="I14" s="33" t="s">
        <v>47</v>
      </c>
      <c r="J14" s="10" t="s">
        <v>79</v>
      </c>
      <c r="K14" s="33">
        <v>25</v>
      </c>
      <c r="L14" s="2" t="s">
        <v>81</v>
      </c>
      <c r="M14" s="30">
        <v>15</v>
      </c>
      <c r="N14" s="2" t="s">
        <v>74</v>
      </c>
      <c r="O14" s="2" t="s">
        <v>76</v>
      </c>
      <c r="P14" s="92" t="s">
        <v>28</v>
      </c>
      <c r="Q14" s="93"/>
    </row>
    <row r="15" spans="2:17" x14ac:dyDescent="0.3">
      <c r="G15" s="39">
        <v>8</v>
      </c>
      <c r="H15" s="11" t="s">
        <v>116</v>
      </c>
      <c r="I15" s="33" t="s">
        <v>47</v>
      </c>
      <c r="J15" s="10" t="s">
        <v>79</v>
      </c>
      <c r="K15" s="33">
        <v>26</v>
      </c>
      <c r="L15" s="2" t="s">
        <v>119</v>
      </c>
      <c r="M15" s="30">
        <v>20</v>
      </c>
      <c r="N15" s="2" t="s">
        <v>77</v>
      </c>
      <c r="O15" s="2" t="s">
        <v>94</v>
      </c>
      <c r="P15" s="92" t="s">
        <v>28</v>
      </c>
      <c r="Q15" s="93"/>
    </row>
  </sheetData>
  <mergeCells count="23">
    <mergeCell ref="P14:Q14"/>
    <mergeCell ref="P12:Q12"/>
    <mergeCell ref="P11:Q11"/>
    <mergeCell ref="P8:Q8"/>
    <mergeCell ref="P15:Q15"/>
    <mergeCell ref="P9:Q9"/>
    <mergeCell ref="P13:Q13"/>
    <mergeCell ref="B1:E1"/>
    <mergeCell ref="G6:G7"/>
    <mergeCell ref="I6:I7"/>
    <mergeCell ref="J6:J7"/>
    <mergeCell ref="B11:B14"/>
    <mergeCell ref="C11:C14"/>
    <mergeCell ref="C7:C10"/>
    <mergeCell ref="B7:B10"/>
    <mergeCell ref="G5:Q5"/>
    <mergeCell ref="B3:G3"/>
    <mergeCell ref="B5:D5"/>
    <mergeCell ref="P6:Q6"/>
    <mergeCell ref="H6:H7"/>
    <mergeCell ref="P10:Q10"/>
    <mergeCell ref="P7:Q7"/>
    <mergeCell ref="K6:O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-0.249977111117893"/>
  </sheetPr>
  <dimension ref="B1:O25"/>
  <sheetViews>
    <sheetView tabSelected="1" workbookViewId="0">
      <selection activeCell="K26" sqref="K26"/>
    </sheetView>
  </sheetViews>
  <sheetFormatPr defaultRowHeight="14.4" x14ac:dyDescent="0.3"/>
  <cols>
    <col min="6" max="6" width="12.109375" bestFit="1" customWidth="1"/>
    <col min="7" max="7" width="17.5546875" bestFit="1" customWidth="1"/>
    <col min="8" max="8" width="10.5546875" customWidth="1"/>
    <col min="9" max="9" width="17" customWidth="1"/>
    <col min="11" max="11" width="9.88671875" customWidth="1"/>
    <col min="12" max="12" width="34.77734375" customWidth="1"/>
    <col min="13" max="13" width="10.88671875" customWidth="1"/>
  </cols>
  <sheetData>
    <row r="1" spans="2:13" x14ac:dyDescent="0.3">
      <c r="B1" s="55" t="s">
        <v>0</v>
      </c>
      <c r="C1" s="56"/>
      <c r="D1" s="56"/>
      <c r="E1" s="57"/>
    </row>
    <row r="3" spans="2:13" x14ac:dyDescent="0.3">
      <c r="B3" s="113" t="s">
        <v>40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</row>
    <row r="4" spans="2:13" ht="14.4" customHeight="1" x14ac:dyDescent="0.3">
      <c r="B4" s="70" t="s">
        <v>41</v>
      </c>
      <c r="C4" s="111" t="s">
        <v>42</v>
      </c>
      <c r="D4" s="103" t="s">
        <v>43</v>
      </c>
      <c r="E4" s="72" t="s">
        <v>44</v>
      </c>
      <c r="F4" s="74" t="s">
        <v>24</v>
      </c>
      <c r="G4" s="76"/>
      <c r="H4" s="76"/>
      <c r="I4" s="76"/>
      <c r="J4" s="76"/>
      <c r="K4" s="75"/>
      <c r="L4" s="109" t="s">
        <v>25</v>
      </c>
      <c r="M4" s="109"/>
    </row>
    <row r="5" spans="2:13" x14ac:dyDescent="0.3">
      <c r="B5" s="105"/>
      <c r="C5" s="112"/>
      <c r="D5" s="104"/>
      <c r="E5" s="110"/>
      <c r="F5" s="34" t="s">
        <v>69</v>
      </c>
      <c r="G5" s="34" t="s">
        <v>71</v>
      </c>
      <c r="H5" s="34" t="s">
        <v>111</v>
      </c>
      <c r="I5" s="34" t="s">
        <v>26</v>
      </c>
      <c r="J5" s="101" t="s">
        <v>72</v>
      </c>
      <c r="K5" s="102"/>
      <c r="L5" s="34" t="s">
        <v>27</v>
      </c>
      <c r="M5" s="34" t="s">
        <v>45</v>
      </c>
    </row>
    <row r="6" spans="2:13" x14ac:dyDescent="0.3">
      <c r="B6" s="8">
        <v>1</v>
      </c>
      <c r="C6" s="106" t="s">
        <v>46</v>
      </c>
      <c r="D6" s="35" t="s">
        <v>47</v>
      </c>
      <c r="E6" s="8" t="s">
        <v>29</v>
      </c>
      <c r="F6" s="37">
        <v>15</v>
      </c>
      <c r="G6" s="9" t="s">
        <v>73</v>
      </c>
      <c r="H6" s="44">
        <v>10</v>
      </c>
      <c r="I6" s="9" t="s">
        <v>74</v>
      </c>
      <c r="J6" s="99" t="s">
        <v>75</v>
      </c>
      <c r="K6" s="99"/>
      <c r="L6" s="7" t="s">
        <v>28</v>
      </c>
      <c r="M6" s="40" t="s">
        <v>125</v>
      </c>
    </row>
    <row r="7" spans="2:13" x14ac:dyDescent="0.3">
      <c r="B7" s="8">
        <f>B6+1</f>
        <v>2</v>
      </c>
      <c r="C7" s="107"/>
      <c r="D7" s="35" t="s">
        <v>80</v>
      </c>
      <c r="E7" s="8" t="s">
        <v>29</v>
      </c>
      <c r="F7" s="37">
        <v>16</v>
      </c>
      <c r="G7" s="9" t="s">
        <v>30</v>
      </c>
      <c r="H7" s="44">
        <v>12</v>
      </c>
      <c r="I7" s="9" t="s">
        <v>77</v>
      </c>
      <c r="J7" s="99" t="s">
        <v>94</v>
      </c>
      <c r="K7" s="99"/>
      <c r="L7" s="7" t="s">
        <v>122</v>
      </c>
      <c r="M7" s="40" t="s">
        <v>125</v>
      </c>
    </row>
    <row r="8" spans="2:13" x14ac:dyDescent="0.3">
      <c r="B8" s="8">
        <f t="shared" ref="B8:B15" si="0">B7+1</f>
        <v>3</v>
      </c>
      <c r="C8" s="107"/>
      <c r="D8" s="35" t="s">
        <v>48</v>
      </c>
      <c r="E8" s="8" t="s">
        <v>29</v>
      </c>
      <c r="F8" s="37">
        <v>17</v>
      </c>
      <c r="G8" s="9" t="s">
        <v>83</v>
      </c>
      <c r="H8" s="44">
        <v>18.5</v>
      </c>
      <c r="I8" s="9" t="s">
        <v>95</v>
      </c>
      <c r="J8" s="99" t="s">
        <v>96</v>
      </c>
      <c r="K8" s="99"/>
      <c r="L8" s="7" t="s">
        <v>122</v>
      </c>
      <c r="M8" s="40" t="s">
        <v>125</v>
      </c>
    </row>
    <row r="9" spans="2:13" x14ac:dyDescent="0.3">
      <c r="B9" s="8">
        <f t="shared" si="0"/>
        <v>4</v>
      </c>
      <c r="C9" s="107"/>
      <c r="D9" s="35" t="s">
        <v>82</v>
      </c>
      <c r="E9" s="8" t="s">
        <v>29</v>
      </c>
      <c r="F9" s="40">
        <v>18</v>
      </c>
      <c r="G9" s="42" t="s">
        <v>98</v>
      </c>
      <c r="H9" s="45">
        <v>-5</v>
      </c>
      <c r="I9" s="42" t="s">
        <v>99</v>
      </c>
      <c r="J9" s="100" t="s">
        <v>96</v>
      </c>
      <c r="K9" s="100"/>
      <c r="L9" s="42" t="s">
        <v>120</v>
      </c>
      <c r="M9" s="40" t="s">
        <v>125</v>
      </c>
    </row>
    <row r="10" spans="2:13" x14ac:dyDescent="0.3">
      <c r="B10" s="8">
        <f t="shared" si="0"/>
        <v>5</v>
      </c>
      <c r="C10" s="107"/>
      <c r="D10" s="35" t="s">
        <v>29</v>
      </c>
      <c r="E10" s="8" t="s">
        <v>112</v>
      </c>
      <c r="F10" s="37">
        <v>19</v>
      </c>
      <c r="G10" s="9" t="s">
        <v>93</v>
      </c>
      <c r="H10" s="51">
        <v>-0.01</v>
      </c>
      <c r="I10" s="9" t="s">
        <v>77</v>
      </c>
      <c r="J10" s="99" t="s">
        <v>78</v>
      </c>
      <c r="K10" s="99"/>
      <c r="L10" s="7" t="s">
        <v>120</v>
      </c>
      <c r="M10" s="40" t="s">
        <v>125</v>
      </c>
    </row>
    <row r="11" spans="2:13" x14ac:dyDescent="0.3">
      <c r="B11" s="8">
        <f>B10+1</f>
        <v>6</v>
      </c>
      <c r="C11" s="107"/>
      <c r="D11" s="35" t="s">
        <v>29</v>
      </c>
      <c r="E11" s="8" t="s">
        <v>113</v>
      </c>
      <c r="F11" s="37">
        <v>20</v>
      </c>
      <c r="G11" s="9" t="s">
        <v>117</v>
      </c>
      <c r="H11" s="44">
        <v>0</v>
      </c>
      <c r="I11" s="9" t="s">
        <v>96</v>
      </c>
      <c r="J11" s="99" t="s">
        <v>76</v>
      </c>
      <c r="K11" s="99"/>
      <c r="L11" s="7" t="s">
        <v>120</v>
      </c>
      <c r="M11" s="40" t="s">
        <v>125</v>
      </c>
    </row>
    <row r="12" spans="2:13" x14ac:dyDescent="0.3">
      <c r="B12" s="8">
        <v>7</v>
      </c>
      <c r="C12" s="107"/>
      <c r="D12" s="48"/>
      <c r="E12" s="8" t="s">
        <v>49</v>
      </c>
      <c r="F12" s="49">
        <v>21</v>
      </c>
      <c r="G12" s="9" t="s">
        <v>73</v>
      </c>
      <c r="H12" s="51">
        <v>0.01</v>
      </c>
      <c r="I12" s="9" t="s">
        <v>74</v>
      </c>
      <c r="J12" s="89" t="s">
        <v>75</v>
      </c>
      <c r="K12" s="90"/>
      <c r="L12" s="7" t="s">
        <v>28</v>
      </c>
      <c r="M12" s="50" t="s">
        <v>125</v>
      </c>
    </row>
    <row r="13" spans="2:13" x14ac:dyDescent="0.3">
      <c r="B13" s="8">
        <v>8</v>
      </c>
      <c r="C13" s="107"/>
      <c r="D13" s="35" t="s">
        <v>29</v>
      </c>
      <c r="E13" s="8" t="s">
        <v>50</v>
      </c>
      <c r="F13" s="49">
        <v>22</v>
      </c>
      <c r="G13" s="9" t="s">
        <v>118</v>
      </c>
      <c r="H13" s="51">
        <v>0.02</v>
      </c>
      <c r="I13" s="9" t="s">
        <v>99</v>
      </c>
      <c r="J13" s="89" t="s">
        <v>75</v>
      </c>
      <c r="K13" s="90"/>
      <c r="L13" s="7" t="s">
        <v>28</v>
      </c>
      <c r="M13" s="50" t="s">
        <v>125</v>
      </c>
    </row>
    <row r="14" spans="2:13" x14ac:dyDescent="0.3">
      <c r="B14" s="8">
        <v>9</v>
      </c>
      <c r="C14" s="107"/>
      <c r="D14" s="35" t="s">
        <v>29</v>
      </c>
      <c r="E14" s="8" t="s">
        <v>51</v>
      </c>
      <c r="F14" s="37">
        <v>23</v>
      </c>
      <c r="G14" s="9" t="s">
        <v>83</v>
      </c>
      <c r="H14" s="44">
        <v>10</v>
      </c>
      <c r="I14" s="9" t="s">
        <v>74</v>
      </c>
      <c r="J14" s="99" t="s">
        <v>76</v>
      </c>
      <c r="K14" s="99"/>
      <c r="L14" s="7" t="s">
        <v>121</v>
      </c>
      <c r="M14" s="40" t="s">
        <v>125</v>
      </c>
    </row>
    <row r="15" spans="2:13" x14ac:dyDescent="0.3">
      <c r="B15" s="8">
        <f t="shared" si="0"/>
        <v>10</v>
      </c>
      <c r="C15" s="107"/>
      <c r="D15" s="35" t="s">
        <v>29</v>
      </c>
      <c r="E15" s="8" t="s">
        <v>114</v>
      </c>
      <c r="F15" s="40">
        <v>24</v>
      </c>
      <c r="G15" s="42" t="s">
        <v>30</v>
      </c>
      <c r="H15" s="45">
        <v>12</v>
      </c>
      <c r="I15" s="42" t="s">
        <v>99</v>
      </c>
      <c r="J15" s="100" t="s">
        <v>76</v>
      </c>
      <c r="K15" s="100"/>
      <c r="L15" s="42" t="s">
        <v>123</v>
      </c>
      <c r="M15" s="40" t="s">
        <v>125</v>
      </c>
    </row>
    <row r="16" spans="2:13" ht="15" thickBot="1" x14ac:dyDescent="0.35">
      <c r="B16" s="52">
        <v>11</v>
      </c>
      <c r="C16" s="107"/>
      <c r="D16" s="47" t="s">
        <v>29</v>
      </c>
      <c r="E16" s="13" t="s">
        <v>115</v>
      </c>
      <c r="F16" s="41">
        <v>25</v>
      </c>
      <c r="G16" s="43" t="s">
        <v>81</v>
      </c>
      <c r="H16" s="46">
        <v>15</v>
      </c>
      <c r="I16" s="43" t="s">
        <v>74</v>
      </c>
      <c r="J16" s="97" t="s">
        <v>76</v>
      </c>
      <c r="K16" s="98"/>
      <c r="L16" s="43" t="s">
        <v>28</v>
      </c>
      <c r="M16" s="41" t="s">
        <v>125</v>
      </c>
    </row>
    <row r="17" spans="2:15" ht="15.6" thickTop="1" thickBot="1" x14ac:dyDescent="0.35">
      <c r="B17" s="13">
        <v>12</v>
      </c>
      <c r="C17" s="108"/>
      <c r="D17" s="14" t="s">
        <v>29</v>
      </c>
      <c r="E17" s="13" t="s">
        <v>115</v>
      </c>
      <c r="F17" s="41">
        <v>26</v>
      </c>
      <c r="G17" s="43" t="s">
        <v>119</v>
      </c>
      <c r="H17" s="46">
        <v>20</v>
      </c>
      <c r="I17" s="43" t="s">
        <v>77</v>
      </c>
      <c r="J17" s="97" t="s">
        <v>94</v>
      </c>
      <c r="K17" s="98"/>
      <c r="L17" s="43" t="s">
        <v>28</v>
      </c>
      <c r="M17" s="41" t="s">
        <v>125</v>
      </c>
    </row>
    <row r="18" spans="2:15" ht="15" thickTop="1" x14ac:dyDescent="0.3">
      <c r="B18" s="15"/>
      <c r="C18" s="15"/>
      <c r="D18" s="16"/>
      <c r="E18" s="15"/>
      <c r="F18" s="15"/>
      <c r="G18" s="15"/>
      <c r="H18" s="15"/>
      <c r="I18" s="15"/>
      <c r="J18" s="15"/>
      <c r="K18" s="15"/>
      <c r="L18" s="15"/>
      <c r="M18" s="15"/>
    </row>
    <row r="19" spans="2:15" ht="14.4" customHeight="1" x14ac:dyDescent="0.3">
      <c r="B19" s="15" t="s">
        <v>52</v>
      </c>
      <c r="C19" s="15"/>
      <c r="D19" s="16"/>
      <c r="E19" s="15"/>
      <c r="F19" s="5"/>
      <c r="G19" s="5"/>
      <c r="H19" s="5"/>
      <c r="I19" s="5"/>
      <c r="J19" s="114"/>
      <c r="K19" s="114"/>
      <c r="L19" s="5"/>
    </row>
    <row r="20" spans="2:15" ht="15" thickBot="1" x14ac:dyDescent="0.35">
      <c r="L20" s="5"/>
    </row>
    <row r="21" spans="2:15" ht="15" thickTop="1" x14ac:dyDescent="0.3">
      <c r="C21" s="121" t="s">
        <v>53</v>
      </c>
      <c r="D21" s="122"/>
      <c r="E21" s="122"/>
      <c r="F21" s="123"/>
      <c r="G21" s="20" t="s">
        <v>54</v>
      </c>
      <c r="H21" s="121" t="s">
        <v>55</v>
      </c>
      <c r="I21" s="124"/>
      <c r="J21" s="122"/>
      <c r="K21" s="123"/>
      <c r="L21" s="94" t="s">
        <v>56</v>
      </c>
      <c r="M21" s="95"/>
      <c r="N21" s="95"/>
      <c r="O21" s="96"/>
    </row>
    <row r="22" spans="2:15" ht="14.4" customHeight="1" x14ac:dyDescent="0.3">
      <c r="B22" s="117" t="s">
        <v>42</v>
      </c>
      <c r="C22" s="118" t="s">
        <v>57</v>
      </c>
      <c r="D22" s="119" t="s">
        <v>58</v>
      </c>
      <c r="E22" s="119" t="s">
        <v>59</v>
      </c>
      <c r="F22" s="120" t="s">
        <v>60</v>
      </c>
      <c r="G22" s="129" t="s">
        <v>61</v>
      </c>
      <c r="H22" s="125" t="s">
        <v>62</v>
      </c>
      <c r="I22" s="126"/>
      <c r="J22" s="119" t="s">
        <v>58</v>
      </c>
      <c r="K22" s="120" t="s">
        <v>59</v>
      </c>
      <c r="L22" s="103" t="s">
        <v>62</v>
      </c>
      <c r="M22" s="119" t="s">
        <v>57</v>
      </c>
      <c r="N22" s="119" t="s">
        <v>58</v>
      </c>
      <c r="O22" s="120" t="s">
        <v>59</v>
      </c>
    </row>
    <row r="23" spans="2:15" x14ac:dyDescent="0.3">
      <c r="B23" s="117"/>
      <c r="C23" s="118"/>
      <c r="D23" s="119"/>
      <c r="E23" s="119"/>
      <c r="F23" s="120"/>
      <c r="G23" s="129"/>
      <c r="H23" s="127"/>
      <c r="I23" s="128"/>
      <c r="J23" s="119"/>
      <c r="K23" s="120"/>
      <c r="L23" s="130"/>
      <c r="M23" s="119"/>
      <c r="N23" s="119"/>
      <c r="O23" s="120"/>
    </row>
    <row r="24" spans="2:15" x14ac:dyDescent="0.3">
      <c r="B24" s="23" t="s">
        <v>46</v>
      </c>
      <c r="C24" s="19">
        <v>12</v>
      </c>
      <c r="D24" s="21">
        <v>4</v>
      </c>
      <c r="E24" s="21">
        <v>8</v>
      </c>
      <c r="F24" s="22">
        <v>8</v>
      </c>
      <c r="G24" s="53">
        <v>8</v>
      </c>
      <c r="H24" s="115" t="s">
        <v>140</v>
      </c>
      <c r="I24" s="116"/>
      <c r="J24" s="21">
        <v>12</v>
      </c>
      <c r="K24" s="22">
        <v>0</v>
      </c>
      <c r="L24" s="24" t="s">
        <v>124</v>
      </c>
      <c r="M24" s="2">
        <v>0</v>
      </c>
      <c r="N24" s="21">
        <v>0</v>
      </c>
      <c r="O24" s="22">
        <v>0</v>
      </c>
    </row>
    <row r="25" spans="2:15" x14ac:dyDescent="0.3">
      <c r="L25" s="3"/>
    </row>
  </sheetData>
  <mergeCells count="40">
    <mergeCell ref="N22:N23"/>
    <mergeCell ref="O22:O23"/>
    <mergeCell ref="L22:L23"/>
    <mergeCell ref="M22:M23"/>
    <mergeCell ref="C21:F21"/>
    <mergeCell ref="H21:K21"/>
    <mergeCell ref="H22:I23"/>
    <mergeCell ref="G22:G23"/>
    <mergeCell ref="J22:J23"/>
    <mergeCell ref="K22:K23"/>
    <mergeCell ref="H24:I24"/>
    <mergeCell ref="B22:B23"/>
    <mergeCell ref="C22:C23"/>
    <mergeCell ref="D22:D23"/>
    <mergeCell ref="E22:E23"/>
    <mergeCell ref="F22:F23"/>
    <mergeCell ref="B1:E1"/>
    <mergeCell ref="L4:M4"/>
    <mergeCell ref="F4:K4"/>
    <mergeCell ref="E4:E5"/>
    <mergeCell ref="C4:C5"/>
    <mergeCell ref="B3:M3"/>
    <mergeCell ref="J7:K7"/>
    <mergeCell ref="J5:K5"/>
    <mergeCell ref="D4:D5"/>
    <mergeCell ref="B4:B5"/>
    <mergeCell ref="J6:K6"/>
    <mergeCell ref="C6:C17"/>
    <mergeCell ref="J17:K17"/>
    <mergeCell ref="L21:O21"/>
    <mergeCell ref="J16:K16"/>
    <mergeCell ref="J8:K8"/>
    <mergeCell ref="J15:K15"/>
    <mergeCell ref="J14:K14"/>
    <mergeCell ref="J11:K11"/>
    <mergeCell ref="J10:K10"/>
    <mergeCell ref="J9:K9"/>
    <mergeCell ref="J13:K13"/>
    <mergeCell ref="J12:K12"/>
    <mergeCell ref="J19:K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2026-04-01T07:09:17Z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